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chevron-my.sharepoint.com/personal/nmds_tengizchevroil_com/Documents/Desktop/TEA/"/>
    </mc:Choice>
  </mc:AlternateContent>
  <xr:revisionPtr revIDLastSave="2" documentId="11_1BDBED1DE05E52A62470913A18ECA319306C2BB2" xr6:coauthVersionLast="47" xr6:coauthVersionMax="47" xr10:uidLastSave="{2102DE8D-B5D3-42ED-B621-5236D0D719F2}"/>
  <workbookProtection workbookPassword="C182" lockStructure="1"/>
  <bookViews>
    <workbookView xWindow="28680" yWindow="-120" windowWidth="29040" windowHeight="15720" activeTab="3" xr2:uid="{00000000-000D-0000-FFFF-FFFF00000000}"/>
  </bookViews>
  <sheets>
    <sheet name="AUDIT-Q" sheetId="1" r:id="rId1"/>
    <sheet name="Criteria" sheetId="2" r:id="rId2"/>
    <sheet name="RESULTS" sheetId="3" r:id="rId3"/>
    <sheet name="List of JPs" sheetId="4" r:id="rId4"/>
  </sheets>
  <definedNames>
    <definedName name="_xlnm._FilterDatabase" localSheetId="0" hidden="1">'AUDIT-Q'!$C$1:$J$101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14" i="1" l="1"/>
  <c r="A15" i="1" s="1"/>
  <c r="A16" i="1" s="1"/>
  <c r="A17" i="1" s="1"/>
  <c r="A18" i="1" s="1"/>
  <c r="A19" i="1" s="1"/>
  <c r="A20" i="1" s="1"/>
  <c r="C1" i="1" l="1"/>
  <c r="AG1" i="1"/>
  <c r="AF1" i="1"/>
  <c r="AE1" i="1"/>
  <c r="AD1" i="1"/>
  <c r="AC1" i="1"/>
  <c r="AB1" i="1"/>
  <c r="AA1" i="1"/>
  <c r="Z1" i="1"/>
  <c r="Y1" i="1"/>
  <c r="X1" i="1"/>
  <c r="W1" i="1"/>
  <c r="V1" i="1"/>
  <c r="U1" i="1"/>
  <c r="T1" i="1"/>
  <c r="S1" i="1"/>
  <c r="R1" i="1"/>
  <c r="Q1" i="1"/>
  <c r="P1" i="1"/>
  <c r="O1" i="1"/>
  <c r="N1" i="1"/>
  <c r="M1" i="1"/>
  <c r="L1" i="1"/>
  <c r="K1" i="1"/>
  <c r="H1" i="3" l="1"/>
  <c r="G1" i="3"/>
  <c r="F1" i="3"/>
  <c r="E1" i="3"/>
  <c r="D1" i="3"/>
  <c r="C1" i="3"/>
  <c r="J1" i="1" l="1"/>
  <c r="I1" i="1"/>
  <c r="H1" i="1"/>
  <c r="G1" i="1"/>
  <c r="F1" i="1"/>
  <c r="E1" i="1"/>
  <c r="D1" i="1"/>
  <c r="C3" i="3" l="1"/>
  <c r="D3" i="3"/>
  <c r="E3" i="3"/>
  <c r="F3" i="3"/>
  <c r="G3" i="3"/>
  <c r="H3" i="3"/>
  <c r="C4" i="3"/>
  <c r="D4" i="3"/>
  <c r="E4" i="3"/>
  <c r="F4" i="3"/>
  <c r="G4" i="3"/>
  <c r="H4" i="3"/>
  <c r="C5" i="3"/>
  <c r="D5" i="3"/>
  <c r="E5" i="3"/>
  <c r="F5" i="3"/>
  <c r="G5" i="3"/>
  <c r="H5" i="3"/>
  <c r="C6" i="3"/>
  <c r="D6" i="3"/>
  <c r="E6" i="3"/>
  <c r="F6" i="3"/>
  <c r="G6" i="3"/>
  <c r="H6" i="3"/>
  <c r="C7" i="3"/>
  <c r="D7" i="3"/>
  <c r="E7" i="3"/>
  <c r="F7" i="3"/>
  <c r="G7" i="3"/>
  <c r="H7" i="3"/>
  <c r="C8" i="3"/>
  <c r="D8" i="3"/>
  <c r="E8" i="3"/>
  <c r="F8" i="3"/>
  <c r="G8" i="3"/>
  <c r="H8" i="3"/>
  <c r="C9" i="3"/>
  <c r="D9" i="3"/>
  <c r="E9" i="3"/>
  <c r="F9" i="3"/>
  <c r="G9" i="3"/>
  <c r="H9" i="3"/>
  <c r="C10" i="3"/>
  <c r="D10" i="3"/>
  <c r="E10" i="3"/>
  <c r="F10" i="3"/>
  <c r="G10" i="3"/>
  <c r="H10" i="3"/>
  <c r="C11" i="3"/>
  <c r="D11" i="3"/>
  <c r="E11" i="3"/>
  <c r="F11" i="3"/>
  <c r="G11" i="3"/>
  <c r="H11" i="3"/>
  <c r="C13" i="3"/>
  <c r="D13" i="3"/>
  <c r="E13" i="3"/>
  <c r="F13" i="3"/>
  <c r="G13" i="3"/>
  <c r="H13" i="3"/>
  <c r="C14" i="3"/>
  <c r="D14" i="3"/>
  <c r="E14" i="3"/>
  <c r="F14" i="3"/>
  <c r="G14" i="3"/>
  <c r="H14" i="3"/>
  <c r="C15" i="3"/>
  <c r="D15" i="3"/>
  <c r="E15" i="3"/>
  <c r="F15" i="3"/>
  <c r="G15" i="3"/>
  <c r="H15" i="3"/>
  <c r="C16" i="3"/>
  <c r="D16" i="3"/>
  <c r="E16" i="3"/>
  <c r="F16" i="3"/>
  <c r="G16" i="3"/>
  <c r="H16" i="3"/>
  <c r="C17" i="3"/>
  <c r="D17" i="3"/>
  <c r="E17" i="3"/>
  <c r="F17" i="3"/>
  <c r="G17" i="3"/>
  <c r="H17" i="3"/>
  <c r="C18" i="3"/>
  <c r="D18" i="3"/>
  <c r="E18" i="3"/>
  <c r="F18" i="3"/>
  <c r="G18" i="3"/>
  <c r="H18" i="3"/>
  <c r="C19" i="3"/>
  <c r="D19" i="3"/>
  <c r="E19" i="3"/>
  <c r="F19" i="3"/>
  <c r="G19" i="3"/>
  <c r="H19" i="3"/>
  <c r="C20" i="3"/>
  <c r="D20" i="3"/>
  <c r="E20" i="3"/>
  <c r="F20" i="3"/>
  <c r="G20" i="3"/>
  <c r="H20" i="3"/>
  <c r="C21" i="3"/>
  <c r="D21" i="3"/>
  <c r="E21" i="3"/>
  <c r="F21" i="3"/>
  <c r="G21" i="3"/>
  <c r="H21" i="3"/>
  <c r="C22" i="3"/>
  <c r="D22" i="3"/>
  <c r="E22" i="3"/>
  <c r="F22" i="3"/>
  <c r="G22" i="3"/>
  <c r="H22" i="3"/>
  <c r="C23" i="3"/>
  <c r="D23" i="3"/>
  <c r="E23" i="3"/>
  <c r="F23" i="3"/>
  <c r="G23" i="3"/>
  <c r="H23" i="3"/>
  <c r="C24" i="3"/>
  <c r="D24" i="3"/>
  <c r="E24" i="3"/>
  <c r="F24" i="3"/>
  <c r="G24" i="3"/>
  <c r="H24" i="3"/>
  <c r="C25" i="3"/>
  <c r="D25" i="3"/>
  <c r="E25" i="3"/>
  <c r="F25" i="3"/>
  <c r="G25" i="3"/>
  <c r="H25" i="3"/>
  <c r="C27" i="3"/>
  <c r="D27" i="3"/>
  <c r="E27" i="3"/>
  <c r="F27" i="3"/>
  <c r="G27" i="3"/>
  <c r="H27" i="3"/>
  <c r="C28" i="3"/>
  <c r="D28" i="3"/>
  <c r="E28" i="3"/>
  <c r="F28" i="3"/>
  <c r="G28" i="3"/>
  <c r="H28" i="3"/>
  <c r="C29" i="3"/>
  <c r="D29" i="3"/>
  <c r="E29" i="3"/>
  <c r="F29" i="3"/>
  <c r="G29" i="3"/>
  <c r="H29" i="3"/>
  <c r="C30" i="3"/>
  <c r="D30" i="3"/>
  <c r="E30" i="3"/>
  <c r="F30" i="3"/>
  <c r="G30" i="3"/>
  <c r="H30" i="3"/>
  <c r="C31" i="3"/>
  <c r="D31" i="3"/>
  <c r="E31" i="3"/>
  <c r="F31" i="3"/>
  <c r="G31" i="3"/>
  <c r="H31" i="3"/>
  <c r="C32" i="3"/>
  <c r="D32" i="3"/>
  <c r="E32" i="3"/>
  <c r="F32" i="3"/>
  <c r="G32" i="3"/>
  <c r="H32" i="3"/>
  <c r="C33" i="3"/>
  <c r="D33" i="3"/>
  <c r="E33" i="3"/>
  <c r="F33" i="3"/>
  <c r="G33" i="3"/>
  <c r="H33" i="3"/>
  <c r="C35" i="3"/>
  <c r="D35" i="3"/>
  <c r="E35" i="3"/>
  <c r="F35" i="3"/>
  <c r="G35" i="3"/>
  <c r="H35" i="3"/>
  <c r="C36" i="3"/>
  <c r="D36" i="3"/>
  <c r="E36" i="3"/>
  <c r="F36" i="3"/>
  <c r="G36" i="3"/>
  <c r="H36" i="3"/>
  <c r="C37" i="3"/>
  <c r="D37" i="3"/>
  <c r="E37" i="3"/>
  <c r="F37" i="3"/>
  <c r="G37" i="3"/>
  <c r="H37" i="3"/>
  <c r="C38" i="3"/>
  <c r="D38" i="3"/>
  <c r="E38" i="3"/>
  <c r="F38" i="3"/>
  <c r="G38" i="3"/>
  <c r="H38" i="3"/>
  <c r="C40" i="3"/>
  <c r="D40" i="3"/>
  <c r="E40" i="3"/>
  <c r="F40" i="3"/>
  <c r="G40" i="3"/>
  <c r="H40" i="3"/>
  <c r="C41" i="3"/>
  <c r="D41" i="3"/>
  <c r="E41" i="3"/>
  <c r="F41" i="3"/>
  <c r="G41" i="3"/>
  <c r="H41" i="3"/>
  <c r="C42" i="3"/>
  <c r="D42" i="3"/>
  <c r="E42" i="3"/>
  <c r="F42" i="3"/>
  <c r="G42" i="3"/>
  <c r="H42" i="3"/>
  <c r="C43" i="3"/>
  <c r="D43" i="3"/>
  <c r="E43" i="3"/>
  <c r="F43" i="3"/>
  <c r="G43" i="3"/>
  <c r="H43" i="3"/>
  <c r="C44" i="3"/>
  <c r="D44" i="3"/>
  <c r="E44" i="3"/>
  <c r="F44" i="3"/>
  <c r="G44" i="3"/>
  <c r="H44" i="3"/>
  <c r="C45" i="3"/>
  <c r="D45" i="3"/>
  <c r="E45" i="3"/>
  <c r="F45" i="3"/>
  <c r="G45" i="3"/>
  <c r="H45" i="3"/>
  <c r="C46" i="3"/>
  <c r="D46" i="3"/>
  <c r="E46" i="3"/>
  <c r="F46" i="3"/>
  <c r="G46" i="3"/>
  <c r="H46" i="3"/>
  <c r="C48" i="3"/>
  <c r="D48" i="3"/>
  <c r="E48" i="3"/>
  <c r="F48" i="3"/>
  <c r="G48" i="3"/>
  <c r="H48" i="3"/>
  <c r="C49" i="3"/>
  <c r="D49" i="3"/>
  <c r="E49" i="3"/>
  <c r="F49" i="3"/>
  <c r="G49" i="3"/>
  <c r="H49" i="3"/>
  <c r="C50" i="3"/>
  <c r="D50" i="3"/>
  <c r="E50" i="3"/>
  <c r="F50" i="3"/>
  <c r="G50" i="3"/>
  <c r="H50" i="3"/>
  <c r="C51" i="3"/>
  <c r="D51" i="3"/>
  <c r="E51" i="3"/>
  <c r="F51" i="3"/>
  <c r="G51" i="3"/>
  <c r="H51" i="3"/>
  <c r="C52" i="3"/>
  <c r="D52" i="3"/>
  <c r="E52" i="3"/>
  <c r="F52" i="3"/>
  <c r="G52" i="3"/>
  <c r="H52" i="3"/>
  <c r="C53" i="3"/>
  <c r="D53" i="3"/>
  <c r="E53" i="3"/>
  <c r="F53" i="3"/>
  <c r="G53" i="3"/>
  <c r="H53" i="3"/>
  <c r="C54" i="3"/>
  <c r="D54" i="3"/>
  <c r="E54" i="3"/>
  <c r="F54" i="3"/>
  <c r="G54" i="3"/>
  <c r="H54" i="3"/>
  <c r="C55" i="3"/>
  <c r="D55" i="3"/>
  <c r="E55" i="3"/>
  <c r="F55" i="3"/>
  <c r="G55" i="3"/>
  <c r="H55" i="3"/>
  <c r="C56" i="3"/>
  <c r="D56" i="3"/>
  <c r="E56" i="3"/>
  <c r="F56" i="3"/>
  <c r="G56" i="3"/>
  <c r="H56" i="3"/>
  <c r="C57" i="3"/>
  <c r="D57" i="3"/>
  <c r="E57" i="3"/>
  <c r="F57" i="3"/>
  <c r="G57" i="3"/>
  <c r="H57" i="3"/>
  <c r="C58" i="3"/>
  <c r="D58" i="3"/>
  <c r="E58" i="3"/>
  <c r="F58" i="3"/>
  <c r="G58" i="3"/>
  <c r="H58" i="3"/>
  <c r="C59" i="3"/>
  <c r="D59" i="3"/>
  <c r="E59" i="3"/>
  <c r="F59" i="3"/>
  <c r="G59" i="3"/>
  <c r="H59" i="3"/>
  <c r="C60" i="3"/>
  <c r="D60" i="3"/>
  <c r="E60" i="3"/>
  <c r="F60" i="3"/>
  <c r="G60" i="3"/>
  <c r="H60" i="3"/>
  <c r="C61" i="3"/>
  <c r="D61" i="3"/>
  <c r="E61" i="3"/>
  <c r="F61" i="3"/>
  <c r="G61" i="3"/>
  <c r="H61" i="3"/>
  <c r="C62" i="3"/>
  <c r="D62" i="3"/>
  <c r="E62" i="3"/>
  <c r="F62" i="3"/>
  <c r="G62" i="3"/>
  <c r="H62" i="3"/>
  <c r="C63" i="3"/>
  <c r="D63" i="3"/>
  <c r="E63" i="3"/>
  <c r="F63" i="3"/>
  <c r="G63" i="3"/>
  <c r="H63" i="3"/>
  <c r="C64" i="3"/>
  <c r="D64" i="3"/>
  <c r="E64" i="3"/>
  <c r="F64" i="3"/>
  <c r="G64" i="3"/>
  <c r="H64" i="3"/>
  <c r="C65" i="3"/>
  <c r="D65" i="3"/>
  <c r="E65" i="3"/>
  <c r="F65" i="3"/>
  <c r="G65" i="3"/>
  <c r="H65" i="3"/>
  <c r="C66" i="3"/>
  <c r="D66" i="3"/>
  <c r="E66" i="3"/>
  <c r="F66" i="3"/>
  <c r="G66" i="3"/>
  <c r="H66" i="3"/>
  <c r="C68" i="3"/>
  <c r="D68" i="3"/>
  <c r="E68" i="3"/>
  <c r="F68" i="3"/>
  <c r="G68" i="3"/>
  <c r="H68" i="3"/>
  <c r="C69" i="3"/>
  <c r="D69" i="3"/>
  <c r="E69" i="3"/>
  <c r="F69" i="3"/>
  <c r="G69" i="3"/>
  <c r="H69" i="3"/>
  <c r="C70" i="3"/>
  <c r="D70" i="3"/>
  <c r="E70" i="3"/>
  <c r="F70" i="3"/>
  <c r="G70" i="3"/>
  <c r="H70" i="3"/>
  <c r="C71" i="3"/>
  <c r="D71" i="3"/>
  <c r="E71" i="3"/>
  <c r="F71" i="3"/>
  <c r="G71" i="3"/>
  <c r="H71" i="3"/>
  <c r="C72" i="3"/>
  <c r="D72" i="3"/>
  <c r="E72" i="3"/>
  <c r="F72" i="3"/>
  <c r="G72" i="3"/>
  <c r="H72" i="3"/>
  <c r="C73" i="3"/>
  <c r="D73" i="3"/>
  <c r="E73" i="3"/>
  <c r="F73" i="3"/>
  <c r="G73" i="3"/>
  <c r="H73" i="3"/>
  <c r="C74" i="3"/>
  <c r="D74" i="3"/>
  <c r="E74" i="3"/>
  <c r="F74" i="3"/>
  <c r="G74" i="3"/>
  <c r="H74" i="3"/>
  <c r="C76" i="3"/>
  <c r="D76" i="3"/>
  <c r="E76" i="3"/>
  <c r="F76" i="3"/>
  <c r="G76" i="3"/>
  <c r="H76" i="3"/>
  <c r="C77" i="3"/>
  <c r="D77" i="3"/>
  <c r="E77" i="3"/>
  <c r="F77" i="3"/>
  <c r="G77" i="3"/>
  <c r="H77" i="3"/>
  <c r="C78" i="3"/>
  <c r="D78" i="3"/>
  <c r="E78" i="3"/>
  <c r="F78" i="3"/>
  <c r="G78" i="3"/>
  <c r="H78" i="3"/>
  <c r="C79" i="3"/>
  <c r="D79" i="3"/>
  <c r="E79" i="3"/>
  <c r="F79" i="3"/>
  <c r="G79" i="3"/>
  <c r="H79" i="3"/>
  <c r="C80" i="3"/>
  <c r="D80" i="3"/>
  <c r="E80" i="3"/>
  <c r="F80" i="3"/>
  <c r="G80" i="3"/>
  <c r="H80" i="3"/>
  <c r="C81" i="3"/>
  <c r="D81" i="3"/>
  <c r="E81" i="3"/>
  <c r="F81" i="3"/>
  <c r="G81" i="3"/>
  <c r="H81" i="3"/>
  <c r="C82" i="3"/>
  <c r="D82" i="3"/>
  <c r="E82" i="3"/>
  <c r="F82" i="3"/>
  <c r="G82" i="3"/>
  <c r="H82" i="3"/>
  <c r="C84" i="3"/>
  <c r="D84" i="3"/>
  <c r="E84" i="3"/>
  <c r="F84" i="3"/>
  <c r="G84" i="3"/>
  <c r="H84" i="3"/>
  <c r="C85" i="3"/>
  <c r="D85" i="3"/>
  <c r="E85" i="3"/>
  <c r="F85" i="3"/>
  <c r="G85" i="3"/>
  <c r="H85" i="3"/>
  <c r="C86" i="3"/>
  <c r="D86" i="3"/>
  <c r="E86" i="3"/>
  <c r="F86" i="3"/>
  <c r="G86" i="3"/>
  <c r="H86" i="3"/>
  <c r="C87" i="3"/>
  <c r="D87" i="3"/>
  <c r="E87" i="3"/>
  <c r="F87" i="3"/>
  <c r="G87" i="3"/>
  <c r="H87" i="3"/>
  <c r="C88" i="3"/>
  <c r="D88" i="3"/>
  <c r="E88" i="3"/>
  <c r="F88" i="3"/>
  <c r="G88" i="3"/>
  <c r="H88" i="3"/>
  <c r="C89" i="3"/>
  <c r="D89" i="3"/>
  <c r="E89" i="3"/>
  <c r="F89" i="3"/>
  <c r="G89" i="3"/>
  <c r="H89" i="3"/>
  <c r="C90" i="3"/>
  <c r="D90" i="3"/>
  <c r="E90" i="3"/>
  <c r="F90" i="3"/>
  <c r="G90" i="3"/>
  <c r="H90" i="3"/>
  <c r="C91" i="3"/>
  <c r="D91" i="3"/>
  <c r="E91" i="3"/>
  <c r="F91" i="3"/>
  <c r="G91" i="3"/>
  <c r="H91" i="3"/>
  <c r="C93" i="3"/>
  <c r="D93" i="3"/>
  <c r="E93" i="3"/>
  <c r="F93" i="3"/>
  <c r="G93" i="3"/>
  <c r="H93" i="3"/>
  <c r="C94" i="3"/>
  <c r="D94" i="3"/>
  <c r="E94" i="3"/>
  <c r="F94" i="3"/>
  <c r="G94" i="3"/>
  <c r="H94" i="3"/>
  <c r="C95" i="3"/>
  <c r="D95" i="3"/>
  <c r="E95" i="3"/>
  <c r="F95" i="3"/>
  <c r="G95" i="3"/>
  <c r="H95" i="3"/>
  <c r="C96" i="3"/>
  <c r="D96" i="3"/>
  <c r="E96" i="3"/>
  <c r="F96" i="3"/>
  <c r="G96" i="3"/>
  <c r="H96" i="3"/>
  <c r="C97" i="3"/>
  <c r="D97" i="3"/>
  <c r="E97" i="3"/>
  <c r="F97" i="3"/>
  <c r="G97" i="3"/>
  <c r="H97" i="3"/>
  <c r="C98" i="3"/>
  <c r="D98" i="3"/>
  <c r="E98" i="3"/>
  <c r="F98" i="3"/>
  <c r="G98" i="3"/>
  <c r="H98" i="3"/>
  <c r="C100" i="3"/>
  <c r="D100" i="3"/>
  <c r="E100" i="3"/>
  <c r="F100" i="3"/>
  <c r="G100" i="3"/>
  <c r="H100" i="3"/>
  <c r="C101" i="3"/>
  <c r="D101" i="3"/>
  <c r="E101" i="3"/>
  <c r="F101" i="3"/>
  <c r="G101" i="3"/>
  <c r="H101" i="3"/>
  <c r="C102" i="3"/>
  <c r="D102" i="3"/>
  <c r="E102" i="3"/>
  <c r="F102" i="3"/>
  <c r="G102" i="3"/>
  <c r="H102" i="3"/>
  <c r="C103" i="3"/>
  <c r="D103" i="3"/>
  <c r="E103" i="3"/>
  <c r="F103" i="3"/>
  <c r="G103" i="3"/>
  <c r="H103" i="3"/>
  <c r="C104" i="3"/>
  <c r="D104" i="3"/>
  <c r="E104" i="3"/>
  <c r="F104" i="3"/>
  <c r="G104" i="3"/>
  <c r="H104" i="3"/>
  <c r="C105" i="3"/>
  <c r="D105" i="3"/>
  <c r="E105" i="3"/>
  <c r="F105" i="3"/>
  <c r="G105" i="3"/>
  <c r="H105" i="3"/>
  <c r="C106" i="3"/>
  <c r="D106" i="3"/>
  <c r="E106" i="3"/>
  <c r="F106" i="3"/>
  <c r="G106" i="3"/>
  <c r="H106" i="3"/>
  <c r="C107" i="3"/>
  <c r="D107" i="3"/>
  <c r="E107" i="3"/>
  <c r="F107" i="3"/>
  <c r="G107" i="3"/>
  <c r="H107" i="3"/>
  <c r="F99" i="3" l="1"/>
  <c r="H99" i="3"/>
  <c r="D99" i="3"/>
  <c r="H92" i="3"/>
  <c r="D92" i="3"/>
  <c r="H83" i="3"/>
  <c r="D83" i="3"/>
  <c r="F75" i="3"/>
  <c r="F47" i="3"/>
  <c r="H39" i="3"/>
  <c r="D39" i="3"/>
  <c r="H34" i="3"/>
  <c r="D34" i="3"/>
  <c r="F26" i="3"/>
  <c r="H12" i="3"/>
  <c r="D12" i="3"/>
  <c r="G99" i="3"/>
  <c r="C99" i="3"/>
  <c r="G92" i="3"/>
  <c r="C92" i="3"/>
  <c r="G83" i="3"/>
  <c r="C83" i="3"/>
  <c r="E75" i="3"/>
  <c r="E47" i="3"/>
  <c r="G39" i="3"/>
  <c r="C39" i="3"/>
  <c r="G34" i="3"/>
  <c r="C34" i="3"/>
  <c r="E26" i="3"/>
  <c r="G12" i="3"/>
  <c r="C12" i="3"/>
  <c r="F92" i="3"/>
  <c r="F83" i="3"/>
  <c r="H75" i="3"/>
  <c r="D75" i="3"/>
  <c r="H47" i="3"/>
  <c r="D47" i="3"/>
  <c r="F39" i="3"/>
  <c r="F34" i="3"/>
  <c r="H26" i="3"/>
  <c r="D26" i="3"/>
  <c r="F12" i="3"/>
  <c r="E99" i="3"/>
  <c r="E92" i="3"/>
  <c r="E83" i="3"/>
  <c r="G75" i="3"/>
  <c r="C75" i="3"/>
  <c r="G47" i="3"/>
  <c r="C47" i="3"/>
  <c r="E39" i="3"/>
  <c r="E34" i="3"/>
  <c r="G26" i="3"/>
  <c r="C26" i="3"/>
  <c r="E12" i="3"/>
  <c r="F2" i="3"/>
  <c r="E2" i="3"/>
  <c r="H2" i="3"/>
  <c r="D2" i="3"/>
  <c r="G2" i="3"/>
  <c r="C2" i="3"/>
  <c r="D67" i="3" l="1"/>
  <c r="H67" i="3"/>
  <c r="C67" i="3"/>
  <c r="E67" i="3"/>
  <c r="F67" i="3"/>
  <c r="G67" i="3"/>
</calcChain>
</file>

<file path=xl/sharedStrings.xml><?xml version="1.0" encoding="utf-8"?>
<sst xmlns="http://schemas.openxmlformats.org/spreadsheetml/2006/main" count="237" uniqueCount="158">
  <si>
    <t>A  U  D  I  T     C A T E G O R Y</t>
  </si>
  <si>
    <t>DEDAC</t>
  </si>
  <si>
    <t>Is DEDAC available in Job Folder?</t>
  </si>
  <si>
    <t xml:space="preserve">Is AFC JP available in Job Folder and uploaded to E1? </t>
  </si>
  <si>
    <t>Does the rev of JP in the project folder corresponds to the rev of JP in E1?</t>
  </si>
  <si>
    <t>Is the MOC number indicated in the header table of AFC JP in E1?</t>
  </si>
  <si>
    <t>If MOC number is being indicated, is Functional Review Checklist included in the 5. Reviews, MOC job folder? Is documentation for this MOC record in MOC IT Tool Application on the Web? Is link to MOC IT Tool Application folder in 5. Reviews, MOC job folder?</t>
  </si>
  <si>
    <t>Have all relevant boxes of DEDAC QAQC Checklist and Work Processes Checklist been completed. i.e. N/A is marked for questions not relevant to this Job Pack? Is the native file and pdf copy in the folder? Is the pdf copy dated before to engineer jp signature date?</t>
  </si>
  <si>
    <t>If applicable, was a redlined and signed P&amp;ID saved in job folder?</t>
  </si>
  <si>
    <t>Does the JP Proposed Solution match what is actually being implemented?</t>
  </si>
  <si>
    <t>Does new/modified piping design comply with all applicable TCO and Industry standards and regulations?</t>
  </si>
  <si>
    <t>Welding</t>
  </si>
  <si>
    <t>Is generic WPS (specified on Piping ISO drawing(s) or Repair Plan?</t>
  </si>
  <si>
    <t>If the project involves API Line Pipe or Equipment other than Piping, is the WPS confirmation with MI documented in the project folder?</t>
  </si>
  <si>
    <t xml:space="preserve">If PWHT is required, are the PWHT requirements specified in the JP and noted on the Piping ISO/Repair Plan? </t>
  </si>
  <si>
    <t xml:space="preserve">Are NDE and hardness testing requirements specified to be completed AFTER PWHT?  </t>
  </si>
  <si>
    <t>If project involves repairs or modifications to ASME or GOST pressure vessels with PWHT requirements, is the e-mail confirmation with the Reliability Lead Inspector and MI Specialist saved in the project folder?</t>
  </si>
  <si>
    <t>Is engineered PWHT procedure (e.g. for modified GOST/ASME vessel) included in the JP?</t>
  </si>
  <si>
    <t xml:space="preserve">Is hydrogen bake-out required? </t>
  </si>
  <si>
    <t xml:space="preserve">Is hydrogen bake-out specified prior to welding? </t>
  </si>
  <si>
    <t>Is the e-mail that contains consultation with MI group for hydrogen bake-out questions (regarding piping repairs/modifications) saved in the project folder?</t>
  </si>
  <si>
    <t>Has Thermal Stress due to PWHT/H2Bake-out on installed Piping or Equipment been considered?  Were any connected Piping, Attachments or Restraints specified to be removed/disconnected?  Were Dead Weight Supports added to sustain Structural Integrity?  Has this been noted in the Procedure?</t>
  </si>
  <si>
    <t>Hot Tap</t>
  </si>
  <si>
    <t>Are the words "Hot Tap" included in the title of JP and the copy of hot tap permit (orange sheet) included in the Job Pack?</t>
  </si>
  <si>
    <t>Does the Job Pack comply with the requirements of SI-121 Hot Tapping?</t>
  </si>
  <si>
    <t>Is the hydrotest calculation in Excel format for hot tapping included in the Job Folder and PDF format included in the Job Pack?</t>
  </si>
  <si>
    <t>Can it be demonstrated that all other options, to Hot Tapping or Stoppling, have been exhausted?  This includes deferring the work till the next Facility Turnaround/Shutdown.</t>
  </si>
  <si>
    <t>Does the Job Pack include a scanned copy of the SI-121 Checklist with Part 1 duly signed off by the responsible Design Engineer (Project Engineer)?</t>
  </si>
  <si>
    <t>Stoppling Job Pack shall also include (apart from everything else required as per SI-121): a) Stoppling Material List, b) Stoppling Schematic and c) Stoppling Contractor Method Statement. Is JP complete?</t>
  </si>
  <si>
    <t>Has Operations' Emergency Procedure, for abandoning a Hot Tap or Stopple been prepared, fully signed off and attached to the Job Pack?</t>
  </si>
  <si>
    <t>NDE</t>
  </si>
  <si>
    <t>Is the right type and % of NDE specified (i.e. 5% PT/MT, 100% RT, 100% VT)?</t>
  </si>
  <si>
    <t>If there is more than one pipe class, are NDE requirements listed separately for each pipe class?</t>
  </si>
  <si>
    <t>If the project involves equipment other than piping, are NDE requirements confirmed by the Reliability Lead Inspector documented in the job folder?</t>
  </si>
  <si>
    <t>If Welding of New Pipe to Existing Pipe Required, are instructions noted in the Job Pack to perform NDE at the proposed tie-in point prior to beginning mechanical work? Is a note about requirement to perform NDE included on the ISO drawing?</t>
  </si>
  <si>
    <t>Golden Weld (Closure Weld)</t>
  </si>
  <si>
    <t>Are the following documents attached to the Request?</t>
  </si>
  <si>
    <r>
      <t>·</t>
    </r>
    <r>
      <rPr>
        <i/>
        <sz val="7"/>
        <color theme="1"/>
        <rFont val="ISOCPEUR"/>
        <family val="2"/>
      </rPr>
      <t xml:space="preserve">         </t>
    </r>
    <r>
      <rPr>
        <i/>
        <sz val="11"/>
        <color theme="1"/>
        <rFont val="ISOCPEUR"/>
        <family val="2"/>
      </rPr>
      <t xml:space="preserve">P&amp;ID and / or Isometric drawing with the Golden Weld(s) clearly identified.     </t>
    </r>
  </si>
  <si>
    <r>
      <t>·</t>
    </r>
    <r>
      <rPr>
        <i/>
        <sz val="7"/>
        <color theme="1"/>
        <rFont val="ISOCPEUR"/>
        <family val="2"/>
      </rPr>
      <t xml:space="preserve">         </t>
    </r>
    <r>
      <rPr>
        <i/>
        <sz val="11"/>
        <color theme="1"/>
        <rFont val="ISOCPEUR"/>
        <family val="2"/>
      </rPr>
      <t xml:space="preserve">Inspection and Test Plan </t>
    </r>
  </si>
  <si>
    <r>
      <t>·</t>
    </r>
    <r>
      <rPr>
        <i/>
        <sz val="7"/>
        <color theme="1"/>
        <rFont val="ISOCPEUR"/>
        <family val="2"/>
      </rPr>
      <t xml:space="preserve">         </t>
    </r>
    <r>
      <rPr>
        <i/>
        <sz val="11"/>
        <color theme="1"/>
        <rFont val="ISOCPEUR"/>
        <family val="2"/>
      </rPr>
      <t xml:space="preserve">Weld Procedure and Procedure Qualification Record </t>
    </r>
  </si>
  <si>
    <t xml:space="preserve">Is a copy of approved Golden Weld Request form attached to JP?  </t>
  </si>
  <si>
    <t>If multiple piping isometrics require Golden Weld, is a separate Golden Weld request prepared for each piping isometric/drawing?</t>
  </si>
  <si>
    <t>Can we demonstrate that all other options, to performing a Golden Joint, have been exhausted (e.g. using a Test Plug, introducing Break Flanges or performing a Service Test)? Is yellow lined Guide to Determine Leak Test Requirement of Piping Field Welds been placed in the project folder?</t>
  </si>
  <si>
    <t>Hydrotest (Pressure Testing)</t>
  </si>
  <si>
    <t>Are hydrotest pressures clearly stated on the Piping Isometrics?</t>
  </si>
  <si>
    <t>Was a Field Weld Leak Test Requirements flow diagram marked up to show the pressure test decision, agreed with  Operations Supervisor or TASP Mechanical Coordinator and saved in the job folder.  (TA to include in JP for IFRC and AFC approval)</t>
  </si>
  <si>
    <t>Is hydro-test specified in the Job Pack to be completed AFTER PWHT (if applicable) and BEFORE Coating (if applicable)?</t>
  </si>
  <si>
    <t>If different test pressures apply (e.g. Shop and Field Scopes), are test breaks been clearly indicated? Does Piping of different Pressure Ratings (Line Classes) feature on separate Piping ISO’s?</t>
  </si>
  <si>
    <t>Can we eliminate Field Pressure Testing by replacing an entire spool rather than welding to the existing Spool?</t>
  </si>
  <si>
    <t>Can existing support(s) and new support(s) accommodate the water weight (e.g. elevated Vent and Flare Lines)?</t>
  </si>
  <si>
    <t>Does design allow high point vents and low point drains? Are there any piping pockets that can be eliminated?</t>
  </si>
  <si>
    <t>Do we run a risk that Expanding Hydro-test Media (or Process Commodity for that matter), trapped in any blocked-in cavity, can lead to yielding and/or associated Failure?  Does our Design feature the appropriate Thermal Relief Devices or Mitigation?</t>
  </si>
  <si>
    <t xml:space="preserve">Can we introduce water in the System (e.g. Refractory-lined)? </t>
  </si>
  <si>
    <t xml:space="preserve">Are there any risks associated with not being able to drain out all water (e.g. Startup Water Hammer)? </t>
  </si>
  <si>
    <t xml:space="preserve">Does the Piping or Equipment need to be completely dry prior to seeing service (e.g. Instrument Air or Sour Gas Pipeline)?  </t>
  </si>
  <si>
    <t>In the case of Jacketed Piping, is the inner (process) pipe specified to be tested based on the highest pressure of the Process and of the Jacketing Medium?</t>
  </si>
  <si>
    <t xml:space="preserve">Are there any Components that need to be removed and blanked off or replaced with a Temporary Spool (e.g. Instrumentation, Bellows)? Has it been noted in the Job Pack? </t>
  </si>
  <si>
    <t xml:space="preserve">Is there a possibility of exceeding Yield Stress Limitations and need to consider a reduced Test Pressure?  </t>
  </si>
  <si>
    <t xml:space="preserve">If there is a need for Alternative Pressure Test (e.g. Nitrogen-Helium Sniffer Test), does the Job Pack feature a Procedure or Method Statement? Is it clearly specified on the Piping ISO/Repair Plan? Has any correspondence with endorsement by QC, HES and LP been documented?  </t>
  </si>
  <si>
    <t>If piping material is austenitic stainless steel or nickel alloy, was chloride content (&lt;50 ppm) of the water been specified in the Job Pack?</t>
  </si>
  <si>
    <t>If Service Test is specified, is the commodity a Category D service?</t>
  </si>
  <si>
    <t xml:space="preserve">Is Service Test clearly specified on the Piping ISO and/or Repair Plan? </t>
  </si>
  <si>
    <t>Is a "Category "D" Piping" Label shown on the Piping ISO and only VT=100% shown in the NDT box.</t>
  </si>
  <si>
    <t>Piping Support</t>
  </si>
  <si>
    <t>Are Pipe supports designed per PIM-DU-5153-TCO?</t>
  </si>
  <si>
    <t>If Spring Cans or Spring Hangers are used, does Job Pack include instructions to perform site inspection to verify the correct location, proper installation, and that the travel stops are removed?</t>
  </si>
  <si>
    <t>Does the Piping feature any other Proprietary Pipe Supports (e.g. Sway-braces, Snubbers, Rigid Struts, Riser Clamps, Hanger-rods,  Pipe Rollers, PTFE Bearing Pads) that justify QC HOLD Points and/or the Responsible DE Engineer or EC performing  site inspection to ensure proper installation and functioning?  Is this noted in the Job Pack and on related drawings?</t>
  </si>
  <si>
    <t xml:space="preserve">Are all Pipe Support Ancillaries (e.g. Pipe Clamps, Turn-buckles, Eye-Nuts, etc) included on a MR or related detailed drawings included in the Job Pack? </t>
  </si>
  <si>
    <t>Are nipoflanges used for unsupported small bore piping branch connections to 2” and larger pipe headers?</t>
  </si>
  <si>
    <t>Are gussets required and installed per PIM-DU-5153-TCO section 7.13, detail GSW1 and GSW101 or approved equal?</t>
  </si>
  <si>
    <t>Is CAESAR II stress analysis required per PIM-DU-5155-TCO for new or modified piping? Are results properly documented in the job folder?</t>
  </si>
  <si>
    <t>Materials</t>
  </si>
  <si>
    <r>
      <t>Are the materials ordered per Minimum Design Temperature? Is Minimum Design Metal Temperature (MDMT) of (-)40</t>
    </r>
    <r>
      <rPr>
        <i/>
        <vertAlign val="superscript"/>
        <sz val="11"/>
        <color theme="1"/>
        <rFont val="ISOCPEUR"/>
        <family val="2"/>
      </rPr>
      <t>o</t>
    </r>
    <r>
      <rPr>
        <i/>
        <sz val="11"/>
        <color theme="1"/>
        <rFont val="ISOCPEUR"/>
        <family val="2"/>
      </rPr>
      <t>C included in specification for new or replacement fabricated equipment, such as heat exchanger bundles and pressure vessels?"</t>
    </r>
  </si>
  <si>
    <t>If equipment is fabricated with carbon steel plate, is ASTM or SA 516 Grade 70 Normalized Carbon Steel specified?"</t>
  </si>
  <si>
    <t xml:space="preserve">Is NACE MR0175/ISO15156 specified when ordering metallic materials? </t>
  </si>
  <si>
    <t>Are applicable Industry Codes included in the Material Requisition (MR), such as ASME, ANSI, ASTM, API, GOST, etc.?</t>
  </si>
  <si>
    <t>Are applicable TCO and Chevron specifications included in MR, such as TCO Pressure Vessel Specification, TCO Heat Exchanger Bundle Specification, etc.?</t>
  </si>
  <si>
    <t>Does this JP deal with Safety Relief Valves (SRV)? Is copy of PSV/SSV data-sheet included in the job folder?</t>
  </si>
  <si>
    <t>Do Safety Valves comply with TES FRS-DU-5056-TCO, FRS-SU-5032-TCO and FRS-SU-5033-TCO?</t>
  </si>
  <si>
    <t>Galvanic Cell Corrosion</t>
  </si>
  <si>
    <t>Are Insulating Flange Kits (IFKs) required?  Have Pikotek been specified?</t>
  </si>
  <si>
    <t>Have they been allocated SP Numbers that are indicated on P&amp;IDs?</t>
  </si>
  <si>
    <t>Is correspondence with MI documented to determine potential for galvanic corrosion or referenced Chevron Corrosion Manual and documented in the job folder?</t>
  </si>
  <si>
    <t>Has an IWR been generated to involve I&amp;E?</t>
  </si>
  <si>
    <t xml:space="preserve">Is Impressed Current Cathodic Protection (ICCP) being inadvertently compromised on Pipelines by un-isolated Pipe Supports and/or by Instrumentation downstream of Monolithic Insulation Joints? </t>
  </si>
  <si>
    <t xml:space="preserve">Is sufficient Flanged Interfaces been provided for I&amp;E to insulate Instrumentation?  </t>
  </si>
  <si>
    <t>If Monolithic Insulation Joints are being installed on Sour Gas Pipeline, have the Insulation Joints been ordered complete with Pups welded on and PWHT performed Ex-works?</t>
  </si>
  <si>
    <t>Is Continuity Testing noted in the Job Pack and specified on the Piping ISO to ensure that Flange Insulation Kit / Insulation Joint Integrity is intact following Construction?</t>
  </si>
  <si>
    <t>Safety in Designs</t>
  </si>
  <si>
    <t>Does the new mechanical design comply with Safety In Designs (SID)?</t>
  </si>
  <si>
    <t>Does our Job file include a General Arrangement drawing where it is important to demonstrate SID Compliance, specifically in terms of Emergency Egress?</t>
  </si>
  <si>
    <t xml:space="preserve">Was a Constructability Review needed and completed? </t>
  </si>
  <si>
    <t>Have we ensured that Valve Access and Instrument access complies with TCO Specifications?</t>
  </si>
  <si>
    <t>Miscellaneous</t>
  </si>
  <si>
    <t>If Repairs or Modifications to GGT Registered Equipment are required, is an Equipment Repair Plan issued which specifies step-by-step instructions, procedures and hold-points?</t>
  </si>
  <si>
    <t>Where Paint and Protective Coatings for Piping and Equipment is required, is it specified per COM-SU-5191-TCO and appropriate COATING SYSTEM DATA SHEET included in the Job Pack?</t>
  </si>
  <si>
    <t>Is Insulation for Piping and Equipment specified per IRM-SU-1381/2634/3865/4197 and COM-SU-5220? Is appropriate insulation table(s) marked up indicating correct thickness and filed in the job folder?</t>
  </si>
  <si>
    <t>If steam tracing is indicated in the Job Pack, are the mechanical details included in the JP? Does MR include those materials?</t>
  </si>
  <si>
    <t>If the project involves repair/installation of corrosion coupons, is the appropriate corrosion coupon specified and purchased?</t>
  </si>
  <si>
    <t xml:space="preserve">If the project involves refractory, was it specified correctly? </t>
  </si>
  <si>
    <t>If Job Pack requires installation of an orifice flange, is a note added to the ISO to plug and 2-pass seal-weld the unutilized tapping(s) on the flange?</t>
  </si>
  <si>
    <t>NA</t>
  </si>
  <si>
    <t>Not Applicable</t>
  </si>
  <si>
    <t>0 – No Issues</t>
  </si>
  <si>
    <t>No issues</t>
  </si>
  <si>
    <t>1 – Design</t>
  </si>
  <si>
    <t>Design issue: examples wrong WPS, does not comply with standard, etc.</t>
  </si>
  <si>
    <t>2 – Documentation</t>
  </si>
  <si>
    <t>Documentation issue: DEDAC, e-mails, files, etc. are missing in the project folder</t>
  </si>
  <si>
    <t xml:space="preserve">3 – Incomplete </t>
  </si>
  <si>
    <t>Not enough information is available or too difficult to assess and answer the question</t>
  </si>
  <si>
    <t>4 – Error</t>
  </si>
  <si>
    <t>Technical or human errors, omissions made by engineer like omitting important steps in procedure, not marking boxes properly (missing "N/A"'s)</t>
  </si>
  <si>
    <t>A  U  D  I  T     C  A T E G O R Y</t>
  </si>
  <si>
    <t>Do all drawings have the same revision number as the Job Pack uploaded in E1?</t>
  </si>
  <si>
    <t xml:space="preserve">If MOC number is being indicated, is the PHA/HAZOP documentation included in the job folder? Check documentation for this MOC record in MOC IT Tool Application on the Web. </t>
  </si>
  <si>
    <t xml:space="preserve">Have all relevant boxes of DEDAC been completed. i.e. N/A is marked for questions not relevant to this Job Pack? </t>
  </si>
  <si>
    <t>If applicable, was a redlined and signed project P&amp;ID saved in job folder?</t>
  </si>
  <si>
    <t>Is the right Weld Procedure Specification (WPS) specified?</t>
  </si>
  <si>
    <t xml:space="preserve">Is WPS specified in the JP Description of Work and Piping ISO drawing(s) or Repair Plan? </t>
  </si>
  <si>
    <t xml:space="preserve">Is a copy of the WPS included in the JP? </t>
  </si>
  <si>
    <t>If there is no TCO-approved procedure available, is Contractor-qualified WPS developed? Has the WPS and PQR been fully signed off by the Contractor and approved by MI?</t>
  </si>
  <si>
    <t>Can we demonstrate that all other options, to performing a Golden Joint, have been exhausted (e.g. using a Test Plug, introducing Break Flanges or performing a Service Test)?</t>
  </si>
  <si>
    <t>Are hydrotest pressures clearly stated in the Job Pack and specified on the Piping Isometrics?</t>
  </si>
  <si>
    <t>Is correspondence with the Operations Consultant about hydro-test possibility documented in the job folder?</t>
  </si>
  <si>
    <t>Is hydro-test specified in the Job Pack to be completed AFTER PWHT and BEFORE Coating?</t>
  </si>
  <si>
    <t xml:space="preserve">If Service Test is being substituted instead of Hydro-test, is the commodity truly a Cat D service?  </t>
  </si>
  <si>
    <t xml:space="preserve">Has it been demonstrated that we have exhausted all other alternatives to Service Testing? Is there any documentation of the Service Test been endorsed by the Operations, QC, HES and Loss Control?  </t>
  </si>
  <si>
    <t>Is Service Test clearly specified on the Piping ISO/Repair Plan and Act Form P-032 included in the Job Pack?</t>
  </si>
  <si>
    <t>Are Pipe supports designed per PIM-DU-5153-TCO (L-ST-2010) ?</t>
  </si>
  <si>
    <t>Is the bracing installed on the nipoflange per PIM-DU-5153-TCO, detail GSW1, GSW101, or A20, or approved equal?</t>
  </si>
  <si>
    <t>Is CAESAR II stress analysis required per PIM-DU-5155-TCO for new or modified piping? Are results been properly documented in the job folder?</t>
  </si>
  <si>
    <t xml:space="preserve">If there is a potential for electric continuity/discontinuity complications (Galvanic Cell Corrosion), have Flange Insulating Kits (Pikotek) been employed at all Specification Breaks?  </t>
  </si>
  <si>
    <t>Is correspondence with MI documented to determine potential for galvanic corrosion or referenced Chevron Corrosion Manual?</t>
  </si>
  <si>
    <t>Does our Job Pack include a General Arrangement drawing where it is important to demonstrate SID Compliance, specifically in terms of Emergency Egress?</t>
  </si>
  <si>
    <t xml:space="preserve">Have we applied due diligence in terms of Constructability, Operability and Maintainability and of Personnel Access and Egress in general? </t>
  </si>
  <si>
    <t>Have we ensured that Valve and Instrumentation Access complies with Discipline Requirements reflected in other TCO Specifications?</t>
  </si>
  <si>
    <t>Have we ensured that Lifting Access/Aids have been engineered where Operations/Maintenance-related Components are regularly accessed (e.g. Donuts-and-Skillets, Hammer Blinds, Strainer Baskets, Filter Elements, Swing-Elbows, etc)?</t>
  </si>
  <si>
    <t xml:space="preserve">If design doesn not comply with SID because of original pre-joint venture construction, are alternatives with Operations and Loss Prevention been discussed to select the appropriate alternative? Is justification provided for non-compliance? Is it documented in the job folder? Does isometric drawing indicate items that are not in compliance with SID? </t>
  </si>
  <si>
    <t>Is Insulation for Piping and Equipment specified per IRM-SU-1381/2634/3865/4197 and COM-SU-5220? Is appropriate insulation table(s) included in the Job Pack?</t>
  </si>
  <si>
    <t>Have we ensured that U/G Piping only feature fully waterproof-cladded Cellular Glass Insulation, complete with Vapor Barrier in the case of U/G Steel Piping?</t>
  </si>
  <si>
    <t>FE LOG#</t>
  </si>
  <si>
    <t>JDE EWR#</t>
  </si>
  <si>
    <t>Title</t>
  </si>
  <si>
    <t>Position</t>
  </si>
  <si>
    <t>Group</t>
  </si>
  <si>
    <t>AFE</t>
  </si>
  <si>
    <t>Auditors</t>
  </si>
  <si>
    <t>Date</t>
  </si>
  <si>
    <t>Audit Findings (Summary for Review Meeting)</t>
  </si>
  <si>
    <t>EXAMPLE</t>
  </si>
  <si>
    <t>14-017</t>
  </si>
  <si>
    <t>KTL2.1, U500, Pipeline replacement from ЕА-501</t>
  </si>
  <si>
    <t>dent9</t>
  </si>
  <si>
    <t>KTL TA</t>
  </si>
  <si>
    <t>MEJ/OPEX</t>
  </si>
  <si>
    <t>Daniyar Z./Jim W.</t>
  </si>
  <si>
    <t>Nothing Significant to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</si>
</sst>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color theme="1"/>
      <name val="Calibri"/>
      <family val="2"/>
      <scheme val="minor"/>
    </font>
    <font>
      <sz val="11"/>
      <color theme="1"/>
      <name val="Arial"/>
      <family val="2"/>
    </font>
    <font>
      <sz val="14"/>
      <color theme="1"/>
      <name val="Arial"/>
      <family val="2"/>
    </font>
    <font>
      <b/>
      <i/>
      <sz val="16"/>
      <color theme="1"/>
      <name val="ISOCPEUR"/>
      <family val="2"/>
    </font>
    <font>
      <b/>
      <i/>
      <sz val="14"/>
      <color theme="1"/>
      <name val="ISOCPEUR"/>
      <family val="2"/>
    </font>
    <font>
      <b/>
      <sz val="11"/>
      <color theme="1"/>
      <name val="ISOCPEUR"/>
      <family val="2"/>
    </font>
    <font>
      <b/>
      <sz val="14"/>
      <color theme="1"/>
      <name val="ISOCPEUR"/>
      <family val="2"/>
    </font>
    <font>
      <i/>
      <sz val="11"/>
      <color theme="1"/>
      <name val="ISOCPEUR"/>
      <family val="2"/>
    </font>
    <font>
      <i/>
      <sz val="7"/>
      <color theme="1"/>
      <name val="ISOCPEUR"/>
      <family val="2"/>
    </font>
    <font>
      <i/>
      <vertAlign val="superscript"/>
      <sz val="11"/>
      <color theme="1"/>
      <name val="ISOCPEUR"/>
      <family val="2"/>
    </font>
    <font>
      <b/>
      <i/>
      <sz val="10"/>
      <color theme="1"/>
      <name val="ISOCPEUR"/>
      <family val="2"/>
    </font>
    <font>
      <sz val="11"/>
      <color theme="0" tint="-0.499984740745262"/>
      <name val="Calibri"/>
      <family val="2"/>
      <scheme val="minor"/>
    </font>
    <font>
      <b/>
      <i/>
      <sz val="8"/>
      <color theme="1"/>
      <name val="ISOCPEUR"/>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0" fillId="0" borderId="0" xfId="0" applyAlignment="1">
      <alignment wrapText="1"/>
    </xf>
    <xf numFmtId="0" fontId="4" fillId="0" borderId="0" xfId="0" applyFont="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6" fillId="0" borderId="0" xfId="0" applyFont="1" applyAlignment="1">
      <alignment vertical="top"/>
    </xf>
    <xf numFmtId="0" fontId="6" fillId="0" borderId="0" xfId="0" applyFont="1" applyAlignment="1">
      <alignment horizontal="left" vertical="top"/>
    </xf>
    <xf numFmtId="2" fontId="6" fillId="0" borderId="0" xfId="0" applyNumberFormat="1" applyFont="1" applyAlignment="1">
      <alignment horizontal="left" vertical="top"/>
    </xf>
    <xf numFmtId="0" fontId="7" fillId="0" borderId="0" xfId="0" applyFont="1" applyAlignment="1">
      <alignment horizontal="left" vertical="top" wrapText="1"/>
    </xf>
    <xf numFmtId="0" fontId="8" fillId="0" borderId="0" xfId="0" applyFont="1" applyAlignment="1">
      <alignment horizontal="left" vertical="top" wrapText="1"/>
    </xf>
    <xf numFmtId="0" fontId="11"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12" fillId="0" borderId="0" xfId="0" applyFont="1" applyAlignment="1">
      <alignment horizontal="center" vertical="center"/>
    </xf>
    <xf numFmtId="0" fontId="12" fillId="0" borderId="0" xfId="0" applyFont="1"/>
    <xf numFmtId="0" fontId="12" fillId="0" borderId="0" xfId="0" applyFont="1" applyAlignment="1">
      <alignment horizontal="center"/>
    </xf>
    <xf numFmtId="15" fontId="12" fillId="0" borderId="0" xfId="0" applyNumberFormat="1" applyFont="1"/>
    <xf numFmtId="0" fontId="13" fillId="0" borderId="0" xfId="0" applyFont="1" applyAlignment="1">
      <alignment horizontal="center" vertical="center" wrapText="1"/>
    </xf>
    <xf numFmtId="15" fontId="0" fillId="0" borderId="0" xfId="0" applyNumberFormat="1"/>
    <xf numFmtId="0" fontId="6" fillId="0" borderId="0" xfId="0" applyFont="1" applyAlignment="1" applyProtection="1">
      <alignment vertical="top"/>
      <protection locked="0"/>
    </xf>
    <xf numFmtId="0" fontId="4" fillId="0" borderId="0" xfId="0" applyFont="1" applyAlignment="1" applyProtection="1">
      <alignment horizontal="center" vertical="center" wrapText="1"/>
      <protection locked="0"/>
    </xf>
    <xf numFmtId="0" fontId="5" fillId="0" borderId="0" xfId="0" applyFont="1" applyAlignment="1" applyProtection="1">
      <alignment horizontal="center" vertical="center"/>
      <protection locked="0"/>
    </xf>
    <xf numFmtId="0" fontId="0" fillId="0" borderId="0" xfId="0" applyProtection="1">
      <protection locked="0"/>
    </xf>
    <xf numFmtId="0" fontId="6" fillId="0" borderId="0" xfId="0" applyFont="1" applyAlignment="1" applyProtection="1">
      <alignment horizontal="left" vertical="top"/>
      <protection locked="0"/>
    </xf>
    <xf numFmtId="0" fontId="7" fillId="0" borderId="0" xfId="0" applyFont="1" applyAlignment="1" applyProtection="1">
      <alignment horizontal="left" vertical="top" wrapText="1"/>
      <protection locked="0"/>
    </xf>
    <xf numFmtId="0" fontId="0" fillId="0" borderId="0" xfId="0" applyAlignment="1" applyProtection="1">
      <alignment horizontal="center"/>
      <protection locked="0"/>
    </xf>
    <xf numFmtId="0" fontId="8" fillId="0" borderId="0" xfId="0" applyFont="1" applyAlignment="1" applyProtection="1">
      <alignment horizontal="left" vertical="top" wrapText="1"/>
      <protection locked="0"/>
    </xf>
    <xf numFmtId="0" fontId="0" fillId="0" borderId="1" xfId="0" applyBorder="1" applyAlignment="1" applyProtection="1">
      <alignment horizontal="left"/>
      <protection locked="0"/>
    </xf>
    <xf numFmtId="2" fontId="6" fillId="0" borderId="0" xfId="0" applyNumberFormat="1" applyFont="1" applyAlignment="1" applyProtection="1">
      <alignment horizontal="left" vertical="top"/>
      <protection locked="0"/>
    </xf>
    <xf numFmtId="0" fontId="0" fillId="0" borderId="0" xfId="0" applyAlignment="1" applyProtection="1">
      <alignment horizontal="left"/>
      <protection locked="0"/>
    </xf>
    <xf numFmtId="0" fontId="0" fillId="0" borderId="0" xfId="0" applyAlignment="1" applyProtection="1">
      <alignment wrapText="1"/>
      <protection locked="0"/>
    </xf>
    <xf numFmtId="0" fontId="5" fillId="0" borderId="0" xfId="0" applyFont="1" applyAlignment="1">
      <alignment horizontal="center" vertical="center"/>
    </xf>
    <xf numFmtId="164" fontId="6" fillId="0" borderId="0" xfId="0" applyNumberFormat="1" applyFont="1" applyAlignment="1" applyProtection="1">
      <alignment horizontal="left" vertical="top"/>
      <protection locked="0"/>
    </xf>
  </cellXfs>
  <cellStyles count="1">
    <cellStyle name="Normal" xfId="0" builtinId="0"/>
  </cellStyles>
  <dxfs count="13">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1</xdr:col>
      <xdr:colOff>5000626</xdr:colOff>
      <xdr:row>1</xdr:row>
      <xdr:rowOff>47624</xdr:rowOff>
    </xdr:from>
    <xdr:ext cx="3505200" cy="790576"/>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429251" y="314324"/>
          <a:ext cx="3505200" cy="790576"/>
        </a:xfrm>
        <a:prstGeom prst="rect">
          <a:avLst/>
        </a:prstGeom>
        <a:solidFill>
          <a:srgbClr val="FFC000"/>
        </a:solidFill>
      </xdr:spPr>
      <xdr:style>
        <a:lnRef idx="2">
          <a:schemeClr val="accent1"/>
        </a:lnRef>
        <a:fillRef idx="1">
          <a:schemeClr val="lt1"/>
        </a:fillRef>
        <a:effectRef idx="0">
          <a:schemeClr val="accent1"/>
        </a:effectRef>
        <a:fontRef idx="minor">
          <a:schemeClr val="dk1"/>
        </a:fontRef>
      </xdr:style>
      <xdr:txBody>
        <a:bodyPr vertOverflow="overflow" horzOverflow="overflow" wrap="square" rtlCol="0" anchor="t">
          <a:noAutofit/>
        </a:bodyPr>
        <a:lstStyle/>
        <a:p>
          <a:pPr algn="l"/>
          <a:r>
            <a:rPr lang="en-US" sz="1100" baseline="0"/>
            <a:t>                </a:t>
          </a:r>
          <a:r>
            <a:rPr lang="en-US" sz="1100"/>
            <a:t>IMPORTANT: Please insert comments when some </a:t>
          </a:r>
        </a:p>
        <a:p>
          <a:pPr algn="l"/>
          <a:r>
            <a:rPr lang="en-US" sz="1100"/>
            <a:t>                 issue (Design or Documentation) is discovered, </a:t>
          </a:r>
        </a:p>
        <a:p>
          <a:pPr algn="l"/>
          <a:r>
            <a:rPr lang="en-US" sz="1100"/>
            <a:t>                 provide some details of what is missing or </a:t>
          </a:r>
        </a:p>
        <a:p>
          <a:pPr algn="l"/>
          <a:r>
            <a:rPr lang="en-US" sz="1100"/>
            <a:t>                 considered as wrong design.</a:t>
          </a:r>
        </a:p>
      </xdr:txBody>
    </xdr:sp>
    <xdr:clientData/>
  </xdr:oneCellAnchor>
  <xdr:twoCellAnchor editAs="oneCell">
    <xdr:from>
      <xdr:col>1</xdr:col>
      <xdr:colOff>5086350</xdr:colOff>
      <xdr:row>1</xdr:row>
      <xdr:rowOff>153903</xdr:rowOff>
    </xdr:from>
    <xdr:to>
      <xdr:col>1</xdr:col>
      <xdr:colOff>5553075</xdr:colOff>
      <xdr:row>4</xdr:row>
      <xdr:rowOff>152399</xdr:rowOff>
    </xdr:to>
    <xdr:pic>
      <xdr:nvPicPr>
        <xdr:cNvPr id="4" name="Picture 3" descr="C:\Users\zdan\AppData\Local\Microsoft\Windows\Temporary Internet Files\Content.IE5\WPTQT1GB\warning-general-2[1].gif">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14975" y="420603"/>
          <a:ext cx="466725" cy="6176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fe.tengizchevroil.com/D&amp;E/New_Folder/Field_Weld_Test_Requirements_17-Feb-2017.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1"/>
  <sheetViews>
    <sheetView zoomScale="115" zoomScaleNormal="115" workbookViewId="0">
      <pane ySplit="1" topLeftCell="A4" activePane="bottomLeft" state="frozen"/>
      <selection pane="bottomLeft" activeCell="B29" sqref="B29"/>
    </sheetView>
  </sheetViews>
  <sheetFormatPr defaultRowHeight="15" x14ac:dyDescent="0.25"/>
  <cols>
    <col min="1" max="1" width="6.42578125" style="20" customWidth="1"/>
    <col min="2" max="2" width="135" style="31" customWidth="1"/>
    <col min="3" max="10" width="15.28515625" style="26" customWidth="1"/>
    <col min="11" max="33" width="15.28515625" style="23" customWidth="1"/>
    <col min="34" max="16384" width="9.140625" style="23"/>
  </cols>
  <sheetData>
    <row r="1" spans="1:34" ht="21" x14ac:dyDescent="0.25">
      <c r="B1" s="21" t="s">
        <v>0</v>
      </c>
      <c r="C1" s="32">
        <f>'List of JPs'!B3</f>
        <v>0</v>
      </c>
      <c r="D1" s="32">
        <f>'List of JPs'!B4</f>
        <v>0</v>
      </c>
      <c r="E1" s="32">
        <f>'List of JPs'!B5</f>
        <v>0</v>
      </c>
      <c r="F1" s="32">
        <f>'List of JPs'!B6</f>
        <v>0</v>
      </c>
      <c r="G1" s="32">
        <f>'List of JPs'!B7</f>
        <v>0</v>
      </c>
      <c r="H1" s="32">
        <f>'List of JPs'!B8</f>
        <v>0</v>
      </c>
      <c r="I1" s="32">
        <f>'List of JPs'!B9</f>
        <v>0</v>
      </c>
      <c r="J1" s="32">
        <f>'List of JPs'!B10</f>
        <v>0</v>
      </c>
      <c r="K1" s="32">
        <f>'List of JPs'!B11</f>
        <v>0</v>
      </c>
      <c r="L1" s="32">
        <f>'List of JPs'!B12</f>
        <v>0</v>
      </c>
      <c r="M1" s="32">
        <f>'List of JPs'!B13</f>
        <v>0</v>
      </c>
      <c r="N1" s="32">
        <f>'List of JPs'!B14</f>
        <v>0</v>
      </c>
      <c r="O1" s="32">
        <f>'List of JPs'!B15</f>
        <v>0</v>
      </c>
      <c r="P1" s="32">
        <f>'List of JPs'!B16</f>
        <v>0</v>
      </c>
      <c r="Q1" s="32">
        <f>'List of JPs'!B17</f>
        <v>0</v>
      </c>
      <c r="R1" s="32">
        <f>'List of JPs'!B18</f>
        <v>0</v>
      </c>
      <c r="S1" s="32">
        <f>'List of JPs'!B19</f>
        <v>0</v>
      </c>
      <c r="T1" s="32">
        <f>'List of JPs'!B20</f>
        <v>0</v>
      </c>
      <c r="U1" s="32">
        <f>'List of JPs'!B21</f>
        <v>0</v>
      </c>
      <c r="V1" s="32">
        <f>'List of JPs'!B22</f>
        <v>0</v>
      </c>
      <c r="W1" s="32">
        <f>'List of JPs'!B23</f>
        <v>0</v>
      </c>
      <c r="X1" s="32">
        <f>'List of JPs'!B24</f>
        <v>0</v>
      </c>
      <c r="Y1" s="32">
        <f>'List of JPs'!B25</f>
        <v>0</v>
      </c>
      <c r="Z1" s="32">
        <f>'List of JPs'!B26</f>
        <v>0</v>
      </c>
      <c r="AA1" s="32">
        <f>'List of JPs'!B27</f>
        <v>0</v>
      </c>
      <c r="AB1" s="32">
        <f>'List of JPs'!B28</f>
        <v>0</v>
      </c>
      <c r="AC1" s="32">
        <f>'List of JPs'!B29</f>
        <v>0</v>
      </c>
      <c r="AD1" s="32">
        <f>'List of JPs'!B30</f>
        <v>0</v>
      </c>
      <c r="AE1" s="32">
        <f>'List of JPs'!B31</f>
        <v>0</v>
      </c>
      <c r="AF1" s="32">
        <f>'List of JPs'!B32</f>
        <v>0</v>
      </c>
      <c r="AG1" s="32">
        <f>'List of JPs'!B33</f>
        <v>0</v>
      </c>
      <c r="AH1" s="22"/>
    </row>
    <row r="2" spans="1:34" ht="18.75" x14ac:dyDescent="0.25">
      <c r="A2" s="24"/>
      <c r="B2" s="25" t="s">
        <v>1</v>
      </c>
    </row>
    <row r="3" spans="1:34" x14ac:dyDescent="0.25">
      <c r="A3" s="24">
        <v>1.1000000000000001</v>
      </c>
      <c r="B3" s="27" t="s">
        <v>2</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pans="1:34" x14ac:dyDescent="0.25">
      <c r="A4" s="24">
        <v>1.2</v>
      </c>
      <c r="B4" s="27" t="s">
        <v>3</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row>
    <row r="5" spans="1:34" x14ac:dyDescent="0.25">
      <c r="A5" s="24">
        <v>1.3</v>
      </c>
      <c r="B5" s="27" t="s">
        <v>4</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row>
    <row r="6" spans="1:34" x14ac:dyDescent="0.25">
      <c r="A6" s="24">
        <v>1.4</v>
      </c>
      <c r="B6" s="27" t="s">
        <v>5</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row>
    <row r="7" spans="1:34" ht="30" x14ac:dyDescent="0.25">
      <c r="A7" s="24">
        <v>1.5</v>
      </c>
      <c r="B7" s="27" t="s">
        <v>6</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row>
    <row r="8" spans="1:34" ht="30" x14ac:dyDescent="0.25">
      <c r="A8" s="24">
        <v>1.6</v>
      </c>
      <c r="B8" s="27" t="s">
        <v>7</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row>
    <row r="9" spans="1:34" x14ac:dyDescent="0.25">
      <c r="A9" s="24">
        <v>1.7</v>
      </c>
      <c r="B9" s="27" t="s">
        <v>8</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row>
    <row r="10" spans="1:34" x14ac:dyDescent="0.25">
      <c r="A10" s="24">
        <v>1.8</v>
      </c>
      <c r="B10" s="27" t="s">
        <v>9</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row>
    <row r="11" spans="1:34" x14ac:dyDescent="0.25">
      <c r="A11" s="24">
        <v>1.1100000000000001</v>
      </c>
      <c r="B11" s="27" t="s">
        <v>10</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row>
    <row r="12" spans="1:34" ht="18.75" x14ac:dyDescent="0.25">
      <c r="A12" s="24"/>
      <c r="B12" s="25" t="s">
        <v>11</v>
      </c>
      <c r="K12" s="26"/>
      <c r="L12" s="26"/>
      <c r="M12" s="26"/>
      <c r="N12" s="26"/>
      <c r="O12" s="26"/>
      <c r="P12" s="26"/>
      <c r="Q12" s="26"/>
      <c r="R12" s="26"/>
      <c r="S12" s="26"/>
      <c r="T12" s="26"/>
      <c r="U12" s="26"/>
      <c r="V12" s="26"/>
      <c r="W12" s="26"/>
      <c r="X12" s="26"/>
      <c r="Y12" s="26"/>
      <c r="Z12" s="26"/>
      <c r="AA12" s="26"/>
      <c r="AB12" s="26"/>
      <c r="AC12" s="26"/>
      <c r="AD12" s="26"/>
      <c r="AE12" s="26"/>
      <c r="AF12" s="26"/>
      <c r="AG12" s="26"/>
    </row>
    <row r="13" spans="1:34" x14ac:dyDescent="0.25">
      <c r="A13" s="24">
        <v>2.1</v>
      </c>
      <c r="B13" s="27" t="s">
        <v>12</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row>
    <row r="14" spans="1:34" x14ac:dyDescent="0.25">
      <c r="A14" s="24">
        <f>+A13+0.1</f>
        <v>2.2000000000000002</v>
      </c>
      <c r="B14" s="27" t="s">
        <v>13</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row>
    <row r="15" spans="1:34" x14ac:dyDescent="0.25">
      <c r="A15" s="24">
        <f t="shared" ref="A15:A20" si="0">+A14+0.1</f>
        <v>2.3000000000000003</v>
      </c>
      <c r="B15" s="27" t="s">
        <v>14</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row>
    <row r="16" spans="1:34" x14ac:dyDescent="0.25">
      <c r="A16" s="24">
        <f t="shared" si="0"/>
        <v>2.4000000000000004</v>
      </c>
      <c r="B16" s="27" t="s">
        <v>15</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row>
    <row r="17" spans="1:33" ht="30" x14ac:dyDescent="0.25">
      <c r="A17" s="24">
        <f t="shared" si="0"/>
        <v>2.5000000000000004</v>
      </c>
      <c r="B17" s="27" t="s">
        <v>16</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row>
    <row r="18" spans="1:33" x14ac:dyDescent="0.25">
      <c r="A18" s="24">
        <f t="shared" si="0"/>
        <v>2.6000000000000005</v>
      </c>
      <c r="B18" s="27" t="s">
        <v>17</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row>
    <row r="19" spans="1:33" x14ac:dyDescent="0.25">
      <c r="A19" s="24">
        <f t="shared" si="0"/>
        <v>2.7000000000000006</v>
      </c>
      <c r="B19" s="27" t="s">
        <v>18</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row>
    <row r="20" spans="1:33" x14ac:dyDescent="0.25">
      <c r="A20" s="24">
        <f t="shared" si="0"/>
        <v>2.8000000000000007</v>
      </c>
      <c r="B20" s="27" t="s">
        <v>19</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row>
    <row r="21" spans="1:33" ht="30" x14ac:dyDescent="0.25">
      <c r="A21" s="33">
        <v>2.9</v>
      </c>
      <c r="B21" s="27" t="s">
        <v>20</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row>
    <row r="22" spans="1:33" ht="45" x14ac:dyDescent="0.25">
      <c r="A22" s="29">
        <v>2.1</v>
      </c>
      <c r="B22" s="27" t="s">
        <v>21</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row>
    <row r="23" spans="1:33" ht="18.75" x14ac:dyDescent="0.25">
      <c r="A23" s="24"/>
      <c r="B23" s="25" t="s">
        <v>22</v>
      </c>
      <c r="K23" s="26"/>
      <c r="L23" s="26"/>
      <c r="M23" s="26"/>
      <c r="N23" s="26"/>
      <c r="O23" s="26"/>
      <c r="P23" s="26"/>
      <c r="Q23" s="26"/>
      <c r="R23" s="26"/>
      <c r="S23" s="26"/>
      <c r="T23" s="26"/>
      <c r="U23" s="26"/>
      <c r="V23" s="26"/>
      <c r="W23" s="26"/>
      <c r="X23" s="26"/>
      <c r="Y23" s="26"/>
      <c r="Z23" s="26"/>
      <c r="AA23" s="26"/>
      <c r="AB23" s="26"/>
      <c r="AC23" s="26"/>
      <c r="AD23" s="26"/>
      <c r="AE23" s="26"/>
      <c r="AF23" s="26"/>
      <c r="AG23" s="26"/>
    </row>
    <row r="24" spans="1:33" x14ac:dyDescent="0.25">
      <c r="A24" s="24">
        <v>3.1</v>
      </c>
      <c r="B24" s="27" t="s">
        <v>23</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row>
    <row r="25" spans="1:33" x14ac:dyDescent="0.25">
      <c r="A25" s="24">
        <v>3.2</v>
      </c>
      <c r="B25" s="27" t="s">
        <v>24</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row>
    <row r="26" spans="1:33" x14ac:dyDescent="0.25">
      <c r="A26" s="24">
        <v>3.3</v>
      </c>
      <c r="B26" s="27" t="s">
        <v>25</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row>
    <row r="27" spans="1:33" ht="30" x14ac:dyDescent="0.25">
      <c r="A27" s="24">
        <v>3.4</v>
      </c>
      <c r="B27" s="27" t="s">
        <v>26</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row>
    <row r="28" spans="1:33" ht="18.75" customHeight="1" x14ac:dyDescent="0.25">
      <c r="A28" s="24">
        <v>3.5</v>
      </c>
      <c r="B28" s="27" t="s">
        <v>27</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row>
    <row r="29" spans="1:33" ht="30" x14ac:dyDescent="0.25">
      <c r="A29" s="24">
        <v>3.6</v>
      </c>
      <c r="B29" s="27" t="s">
        <v>28</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row>
    <row r="30" spans="1:33" x14ac:dyDescent="0.25">
      <c r="A30" s="24">
        <v>3.7</v>
      </c>
      <c r="B30" s="27" t="s">
        <v>29</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row>
    <row r="31" spans="1:33" ht="18.75" x14ac:dyDescent="0.25">
      <c r="A31" s="24"/>
      <c r="B31" s="25" t="s">
        <v>30</v>
      </c>
      <c r="K31" s="26"/>
      <c r="L31" s="26"/>
      <c r="M31" s="26"/>
      <c r="N31" s="26"/>
      <c r="O31" s="26"/>
      <c r="P31" s="26"/>
      <c r="Q31" s="26"/>
      <c r="R31" s="26"/>
      <c r="S31" s="26"/>
      <c r="T31" s="26"/>
      <c r="U31" s="26"/>
      <c r="V31" s="26"/>
      <c r="W31" s="26"/>
      <c r="X31" s="26"/>
      <c r="Y31" s="26"/>
      <c r="Z31" s="26"/>
      <c r="AA31" s="26"/>
      <c r="AB31" s="26"/>
      <c r="AC31" s="26"/>
      <c r="AD31" s="26"/>
      <c r="AE31" s="26"/>
      <c r="AF31" s="26"/>
      <c r="AG31" s="26"/>
    </row>
    <row r="32" spans="1:33" x14ac:dyDescent="0.25">
      <c r="A32" s="24">
        <v>4.0999999999999996</v>
      </c>
      <c r="B32" s="27" t="s">
        <v>31</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spans="1:33" x14ac:dyDescent="0.25">
      <c r="A33" s="24">
        <v>4.2</v>
      </c>
      <c r="B33" s="27" t="s">
        <v>32</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row>
    <row r="34" spans="1:33" ht="18" customHeight="1" x14ac:dyDescent="0.25">
      <c r="A34" s="24">
        <v>4.3</v>
      </c>
      <c r="B34" s="27" t="s">
        <v>33</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row>
    <row r="35" spans="1:33" ht="30" x14ac:dyDescent="0.25">
      <c r="A35" s="24">
        <v>4.4000000000000004</v>
      </c>
      <c r="B35" s="27" t="s">
        <v>34</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row>
    <row r="36" spans="1:33" ht="18.75" x14ac:dyDescent="0.25">
      <c r="A36" s="24"/>
      <c r="B36" s="25" t="s">
        <v>35</v>
      </c>
      <c r="K36" s="26"/>
      <c r="L36" s="26"/>
      <c r="M36" s="26"/>
      <c r="N36" s="26"/>
      <c r="O36" s="26"/>
      <c r="P36" s="26"/>
      <c r="Q36" s="26"/>
      <c r="R36" s="26"/>
      <c r="S36" s="26"/>
      <c r="T36" s="26"/>
      <c r="U36" s="26"/>
      <c r="V36" s="26"/>
      <c r="W36" s="26"/>
      <c r="X36" s="26"/>
      <c r="Y36" s="26"/>
      <c r="Z36" s="26"/>
      <c r="AA36" s="26"/>
      <c r="AB36" s="26"/>
      <c r="AC36" s="26"/>
      <c r="AD36" s="26"/>
      <c r="AE36" s="26"/>
      <c r="AF36" s="26"/>
      <c r="AG36" s="26"/>
    </row>
    <row r="37" spans="1:33" x14ac:dyDescent="0.25">
      <c r="A37" s="24"/>
      <c r="B37" s="27" t="s">
        <v>36</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row>
    <row r="38" spans="1:33" x14ac:dyDescent="0.25">
      <c r="A38" s="24">
        <v>5.0999999999999996</v>
      </c>
      <c r="B38" s="27" t="s">
        <v>37</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row>
    <row r="39" spans="1:33" x14ac:dyDescent="0.25">
      <c r="A39" s="24">
        <v>5.2</v>
      </c>
      <c r="B39" s="27" t="s">
        <v>38</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row>
    <row r="40" spans="1:33" x14ac:dyDescent="0.25">
      <c r="A40" s="24">
        <v>5.3</v>
      </c>
      <c r="B40" s="27" t="s">
        <v>39</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row>
    <row r="41" spans="1:33" x14ac:dyDescent="0.25">
      <c r="A41" s="24">
        <v>5.4</v>
      </c>
      <c r="B41" s="27" t="s">
        <v>40</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row>
    <row r="42" spans="1:33" x14ac:dyDescent="0.25">
      <c r="A42" s="24">
        <v>5.5</v>
      </c>
      <c r="B42" s="27" t="s">
        <v>41</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row>
    <row r="43" spans="1:33" ht="32.25" customHeight="1" x14ac:dyDescent="0.25">
      <c r="A43" s="24">
        <v>5.6</v>
      </c>
      <c r="B43" s="27" t="s">
        <v>42</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row>
    <row r="44" spans="1:33" ht="18.75" x14ac:dyDescent="0.25">
      <c r="A44" s="24"/>
      <c r="B44" s="25" t="s">
        <v>43</v>
      </c>
      <c r="K44" s="26"/>
      <c r="L44" s="26"/>
      <c r="M44" s="26"/>
      <c r="N44" s="26"/>
      <c r="O44" s="26"/>
      <c r="P44" s="26"/>
      <c r="Q44" s="26"/>
      <c r="R44" s="26"/>
      <c r="S44" s="26"/>
      <c r="T44" s="26"/>
      <c r="U44" s="26"/>
      <c r="V44" s="26"/>
      <c r="W44" s="26"/>
      <c r="X44" s="26"/>
      <c r="Y44" s="26"/>
      <c r="Z44" s="26"/>
      <c r="AA44" s="26"/>
      <c r="AB44" s="26"/>
      <c r="AC44" s="26"/>
      <c r="AD44" s="26"/>
      <c r="AE44" s="26"/>
      <c r="AF44" s="26"/>
      <c r="AG44" s="26"/>
    </row>
    <row r="45" spans="1:33" x14ac:dyDescent="0.25">
      <c r="A45" s="24">
        <v>6.1</v>
      </c>
      <c r="B45" s="27" t="s">
        <v>44</v>
      </c>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row>
    <row r="46" spans="1:33" ht="30" x14ac:dyDescent="0.25">
      <c r="A46" s="24">
        <v>6.2</v>
      </c>
      <c r="B46" s="27" t="s">
        <v>45</v>
      </c>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row>
    <row r="47" spans="1:33" x14ac:dyDescent="0.25">
      <c r="A47" s="24">
        <v>6.3</v>
      </c>
      <c r="B47" s="27" t="s">
        <v>46</v>
      </c>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row>
    <row r="48" spans="1:33" ht="30" x14ac:dyDescent="0.25">
      <c r="A48" s="24">
        <v>6.4</v>
      </c>
      <c r="B48" s="27" t="s">
        <v>47</v>
      </c>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spans="1:33" x14ac:dyDescent="0.25">
      <c r="A49" s="24">
        <v>6.5</v>
      </c>
      <c r="B49" s="27" t="s">
        <v>48</v>
      </c>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row>
    <row r="50" spans="1:33" x14ac:dyDescent="0.25">
      <c r="A50" s="24">
        <v>6.6</v>
      </c>
      <c r="B50" s="27" t="s">
        <v>49</v>
      </c>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row>
    <row r="51" spans="1:33" x14ac:dyDescent="0.25">
      <c r="A51" s="24">
        <v>6.7</v>
      </c>
      <c r="B51" s="27" t="s">
        <v>50</v>
      </c>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row>
    <row r="52" spans="1:33" ht="30" x14ac:dyDescent="0.25">
      <c r="A52" s="24">
        <v>6.8</v>
      </c>
      <c r="B52" s="27" t="s">
        <v>51</v>
      </c>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row>
    <row r="53" spans="1:33" x14ac:dyDescent="0.25">
      <c r="A53" s="24">
        <v>6.9</v>
      </c>
      <c r="B53" s="27" t="s">
        <v>52</v>
      </c>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row>
    <row r="54" spans="1:33" x14ac:dyDescent="0.25">
      <c r="A54" s="29">
        <v>6.1</v>
      </c>
      <c r="B54" s="27" t="s">
        <v>53</v>
      </c>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row>
    <row r="55" spans="1:33" x14ac:dyDescent="0.25">
      <c r="A55" s="24">
        <v>6.11</v>
      </c>
      <c r="B55" s="27" t="s">
        <v>54</v>
      </c>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row>
    <row r="56" spans="1:33" ht="30" x14ac:dyDescent="0.25">
      <c r="A56" s="24">
        <v>6.12</v>
      </c>
      <c r="B56" s="27" t="s">
        <v>55</v>
      </c>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row>
    <row r="57" spans="1:33" ht="30" x14ac:dyDescent="0.25">
      <c r="A57" s="24">
        <v>6.13</v>
      </c>
      <c r="B57" s="27" t="s">
        <v>56</v>
      </c>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row>
    <row r="58" spans="1:33" x14ac:dyDescent="0.25">
      <c r="A58" s="24">
        <v>6.14</v>
      </c>
      <c r="B58" s="27" t="s">
        <v>57</v>
      </c>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row>
    <row r="59" spans="1:33" ht="34.5" customHeight="1" x14ac:dyDescent="0.25">
      <c r="A59" s="24">
        <v>6.15</v>
      </c>
      <c r="B59" s="27" t="s">
        <v>58</v>
      </c>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row>
    <row r="60" spans="1:33" x14ac:dyDescent="0.25">
      <c r="A60" s="24">
        <v>6.16</v>
      </c>
      <c r="B60" s="27" t="s">
        <v>59</v>
      </c>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row>
    <row r="61" spans="1:33" x14ac:dyDescent="0.25">
      <c r="A61" s="24">
        <v>6.17</v>
      </c>
      <c r="B61" s="27" t="s">
        <v>60</v>
      </c>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x14ac:dyDescent="0.25">
      <c r="A62" s="24">
        <v>6.18</v>
      </c>
      <c r="B62" s="27" t="s">
        <v>61</v>
      </c>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row>
    <row r="63" spans="1:33" x14ac:dyDescent="0.25">
      <c r="A63" s="24">
        <v>6.19</v>
      </c>
      <c r="B63" s="27" t="s">
        <v>62</v>
      </c>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row>
    <row r="64" spans="1:33" ht="18.75" x14ac:dyDescent="0.25">
      <c r="A64" s="24"/>
      <c r="B64" s="25" t="s">
        <v>63</v>
      </c>
      <c r="K64" s="26"/>
      <c r="L64" s="26"/>
      <c r="M64" s="26"/>
      <c r="N64" s="26"/>
      <c r="O64" s="26"/>
      <c r="P64" s="26"/>
      <c r="Q64" s="26"/>
      <c r="R64" s="26"/>
      <c r="S64" s="26"/>
      <c r="T64" s="26"/>
      <c r="U64" s="26"/>
      <c r="V64" s="26"/>
      <c r="W64" s="26"/>
      <c r="X64" s="26"/>
      <c r="Y64" s="26"/>
      <c r="Z64" s="26"/>
      <c r="AA64" s="26"/>
      <c r="AB64" s="26"/>
      <c r="AC64" s="26"/>
      <c r="AD64" s="26"/>
      <c r="AE64" s="26"/>
      <c r="AF64" s="26"/>
      <c r="AG64" s="26"/>
    </row>
    <row r="65" spans="1:33" x14ac:dyDescent="0.25">
      <c r="A65" s="24">
        <v>7.1</v>
      </c>
      <c r="B65" s="27" t="s">
        <v>64</v>
      </c>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row>
    <row r="66" spans="1:33" ht="30" x14ac:dyDescent="0.25">
      <c r="A66" s="24">
        <v>7.2</v>
      </c>
      <c r="B66" s="27" t="s">
        <v>65</v>
      </c>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row>
    <row r="67" spans="1:33" ht="45" x14ac:dyDescent="0.25">
      <c r="A67" s="24">
        <v>7.3</v>
      </c>
      <c r="B67" s="27" t="s">
        <v>66</v>
      </c>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row>
    <row r="68" spans="1:33" ht="30" x14ac:dyDescent="0.25">
      <c r="A68" s="24">
        <v>7.4</v>
      </c>
      <c r="B68" s="27" t="s">
        <v>67</v>
      </c>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row>
    <row r="69" spans="1:33" x14ac:dyDescent="0.25">
      <c r="A69" s="24">
        <v>7.5</v>
      </c>
      <c r="B69" s="27" t="s">
        <v>68</v>
      </c>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row>
    <row r="70" spans="1:33" x14ac:dyDescent="0.25">
      <c r="A70" s="24">
        <v>7.6</v>
      </c>
      <c r="B70" s="27" t="s">
        <v>69</v>
      </c>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row>
    <row r="71" spans="1:33" x14ac:dyDescent="0.25">
      <c r="A71" s="24">
        <v>7.7</v>
      </c>
      <c r="B71" s="27" t="s">
        <v>70</v>
      </c>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row>
    <row r="72" spans="1:33" ht="18.75" x14ac:dyDescent="0.25">
      <c r="A72" s="24"/>
      <c r="B72" s="25" t="s">
        <v>71</v>
      </c>
      <c r="K72" s="26"/>
      <c r="L72" s="26"/>
      <c r="M72" s="26"/>
      <c r="N72" s="26"/>
      <c r="O72" s="26"/>
      <c r="P72" s="26"/>
      <c r="Q72" s="26"/>
      <c r="R72" s="26"/>
      <c r="S72" s="26"/>
      <c r="T72" s="26"/>
      <c r="U72" s="26"/>
      <c r="V72" s="26"/>
      <c r="W72" s="26"/>
      <c r="X72" s="26"/>
      <c r="Y72" s="26"/>
      <c r="Z72" s="26"/>
      <c r="AA72" s="26"/>
      <c r="AB72" s="26"/>
      <c r="AC72" s="26"/>
      <c r="AD72" s="26"/>
      <c r="AE72" s="26"/>
      <c r="AF72" s="26"/>
      <c r="AG72" s="26"/>
    </row>
    <row r="73" spans="1:33" ht="31.5" x14ac:dyDescent="0.25">
      <c r="A73" s="24">
        <v>8.1</v>
      </c>
      <c r="B73" s="27" t="s">
        <v>72</v>
      </c>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row>
    <row r="74" spans="1:33" x14ac:dyDescent="0.25">
      <c r="A74" s="24">
        <v>8.1999999999999993</v>
      </c>
      <c r="B74" s="27" t="s">
        <v>73</v>
      </c>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row>
    <row r="75" spans="1:33" x14ac:dyDescent="0.25">
      <c r="A75" s="24">
        <v>8.3000000000000007</v>
      </c>
      <c r="B75" s="27" t="s">
        <v>74</v>
      </c>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row>
    <row r="76" spans="1:33" x14ac:dyDescent="0.25">
      <c r="A76" s="24">
        <v>8.4</v>
      </c>
      <c r="B76" s="27" t="s">
        <v>75</v>
      </c>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row>
    <row r="77" spans="1:33" ht="30" x14ac:dyDescent="0.25">
      <c r="A77" s="24">
        <v>8.5</v>
      </c>
      <c r="B77" s="27" t="s">
        <v>76</v>
      </c>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row>
    <row r="78" spans="1:33" x14ac:dyDescent="0.25">
      <c r="A78" s="24">
        <v>8.6</v>
      </c>
      <c r="B78" s="27" t="s">
        <v>77</v>
      </c>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row>
    <row r="79" spans="1:33" x14ac:dyDescent="0.25">
      <c r="A79" s="24">
        <v>8.6999999999999993</v>
      </c>
      <c r="B79" s="27" t="s">
        <v>78</v>
      </c>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row>
    <row r="80" spans="1:33" ht="18.75" x14ac:dyDescent="0.25">
      <c r="A80" s="24"/>
      <c r="B80" s="25" t="s">
        <v>79</v>
      </c>
      <c r="K80" s="26"/>
      <c r="L80" s="26"/>
      <c r="M80" s="26"/>
      <c r="N80" s="26"/>
      <c r="O80" s="26"/>
      <c r="P80" s="26"/>
      <c r="Q80" s="26"/>
      <c r="R80" s="26"/>
      <c r="S80" s="26"/>
      <c r="T80" s="26"/>
      <c r="U80" s="26"/>
      <c r="V80" s="26"/>
      <c r="W80" s="26"/>
      <c r="X80" s="26"/>
      <c r="Y80" s="26"/>
      <c r="Z80" s="26"/>
      <c r="AA80" s="26"/>
      <c r="AB80" s="26"/>
      <c r="AC80" s="26"/>
      <c r="AD80" s="26"/>
      <c r="AE80" s="26"/>
      <c r="AF80" s="26"/>
      <c r="AG80" s="26"/>
    </row>
    <row r="81" spans="1:33" x14ac:dyDescent="0.25">
      <c r="A81" s="24">
        <v>9.1</v>
      </c>
      <c r="B81" s="27" t="s">
        <v>80</v>
      </c>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spans="1:33" x14ac:dyDescent="0.25">
      <c r="A82" s="24">
        <v>9.1999999999999993</v>
      </c>
      <c r="B82" s="27" t="s">
        <v>81</v>
      </c>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row>
    <row r="83" spans="1:33" ht="30" x14ac:dyDescent="0.25">
      <c r="A83" s="24">
        <v>9.3000000000000007</v>
      </c>
      <c r="B83" s="27" t="s">
        <v>82</v>
      </c>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row>
    <row r="84" spans="1:33" x14ac:dyDescent="0.25">
      <c r="A84" s="24">
        <v>9.4</v>
      </c>
      <c r="B84" s="27" t="s">
        <v>83</v>
      </c>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row>
    <row r="85" spans="1:33" ht="30" x14ac:dyDescent="0.25">
      <c r="A85" s="24">
        <v>9.5</v>
      </c>
      <c r="B85" s="27" t="s">
        <v>84</v>
      </c>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row>
    <row r="86" spans="1:33" x14ac:dyDescent="0.25">
      <c r="A86" s="24">
        <v>9.6</v>
      </c>
      <c r="B86" s="27" t="s">
        <v>85</v>
      </c>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row>
    <row r="87" spans="1:33" ht="30" x14ac:dyDescent="0.25">
      <c r="A87" s="24">
        <v>9.6999999999999993</v>
      </c>
      <c r="B87" s="27" t="s">
        <v>86</v>
      </c>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row>
    <row r="88" spans="1:33" ht="30" x14ac:dyDescent="0.25">
      <c r="A88" s="24">
        <v>9.8000000000000007</v>
      </c>
      <c r="B88" s="27" t="s">
        <v>87</v>
      </c>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row>
    <row r="89" spans="1:33" ht="18.75" x14ac:dyDescent="0.25">
      <c r="A89" s="24"/>
      <c r="B89" s="25" t="s">
        <v>88</v>
      </c>
      <c r="K89" s="26"/>
      <c r="L89" s="26"/>
      <c r="M89" s="26"/>
      <c r="N89" s="26"/>
      <c r="O89" s="26"/>
      <c r="P89" s="26"/>
      <c r="Q89" s="26"/>
      <c r="R89" s="26"/>
      <c r="S89" s="26"/>
      <c r="T89" s="26"/>
      <c r="U89" s="26"/>
      <c r="V89" s="26"/>
      <c r="W89" s="26"/>
      <c r="X89" s="26"/>
      <c r="Y89" s="26"/>
      <c r="Z89" s="26"/>
      <c r="AA89" s="26"/>
      <c r="AB89" s="26"/>
      <c r="AC89" s="26"/>
      <c r="AD89" s="26"/>
      <c r="AE89" s="26"/>
      <c r="AF89" s="26"/>
      <c r="AG89" s="26"/>
    </row>
    <row r="90" spans="1:33" x14ac:dyDescent="0.25">
      <c r="A90" s="24">
        <v>10.1</v>
      </c>
      <c r="B90" s="27" t="s">
        <v>89</v>
      </c>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row>
    <row r="91" spans="1:33" ht="30" x14ac:dyDescent="0.25">
      <c r="A91" s="24">
        <v>10.199999999999999</v>
      </c>
      <c r="B91" s="27" t="s">
        <v>90</v>
      </c>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row>
    <row r="92" spans="1:33" x14ac:dyDescent="0.25">
      <c r="A92" s="24">
        <v>10.3</v>
      </c>
      <c r="B92" s="27" t="s">
        <v>91</v>
      </c>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row>
    <row r="93" spans="1:33" x14ac:dyDescent="0.25">
      <c r="A93" s="24">
        <v>10.4</v>
      </c>
      <c r="B93" s="27" t="s">
        <v>92</v>
      </c>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row>
    <row r="94" spans="1:33" ht="18.75" x14ac:dyDescent="0.25">
      <c r="A94" s="24"/>
      <c r="B94" s="25" t="s">
        <v>93</v>
      </c>
      <c r="K94" s="26"/>
      <c r="L94" s="26"/>
      <c r="M94" s="26"/>
      <c r="N94" s="26"/>
      <c r="O94" s="26"/>
      <c r="P94" s="26"/>
      <c r="Q94" s="26"/>
      <c r="R94" s="26"/>
      <c r="S94" s="26"/>
      <c r="T94" s="26"/>
      <c r="U94" s="26"/>
      <c r="V94" s="26"/>
      <c r="W94" s="26"/>
      <c r="X94" s="26"/>
      <c r="Y94" s="26"/>
      <c r="Z94" s="26"/>
      <c r="AA94" s="26"/>
      <c r="AB94" s="26"/>
      <c r="AC94" s="26"/>
      <c r="AD94" s="26"/>
      <c r="AE94" s="26"/>
      <c r="AF94" s="26"/>
      <c r="AG94" s="26"/>
    </row>
    <row r="95" spans="1:33" ht="30" x14ac:dyDescent="0.25">
      <c r="A95" s="24">
        <v>11.1</v>
      </c>
      <c r="B95" s="27" t="s">
        <v>94</v>
      </c>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row>
    <row r="96" spans="1:33" ht="30" x14ac:dyDescent="0.25">
      <c r="A96" s="24">
        <v>11.2</v>
      </c>
      <c r="B96" s="27" t="s">
        <v>95</v>
      </c>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row>
    <row r="97" spans="1:33" ht="30" x14ac:dyDescent="0.25">
      <c r="A97" s="24">
        <v>11.3</v>
      </c>
      <c r="B97" s="27" t="s">
        <v>96</v>
      </c>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row>
    <row r="98" spans="1:33" x14ac:dyDescent="0.25">
      <c r="A98" s="24">
        <v>11.4</v>
      </c>
      <c r="B98" s="27" t="s">
        <v>97</v>
      </c>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row>
    <row r="99" spans="1:33" x14ac:dyDescent="0.25">
      <c r="A99" s="24">
        <v>11.5</v>
      </c>
      <c r="B99" s="27" t="s">
        <v>98</v>
      </c>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row>
    <row r="100" spans="1:33" x14ac:dyDescent="0.25">
      <c r="A100" s="24">
        <v>11.6</v>
      </c>
      <c r="B100" s="27" t="s">
        <v>99</v>
      </c>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row>
    <row r="101" spans="1:33" ht="30" x14ac:dyDescent="0.25">
      <c r="A101" s="24">
        <v>11.7</v>
      </c>
      <c r="B101" s="27" t="s">
        <v>100</v>
      </c>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row>
  </sheetData>
  <autoFilter ref="C1:J101" xr:uid="{00000000-0009-0000-0000-000000000000}"/>
  <conditionalFormatting sqref="C3:AG11">
    <cfRule type="cellIs" dxfId="12" priority="11" operator="equal">
      <formula>0</formula>
    </cfRule>
  </conditionalFormatting>
  <conditionalFormatting sqref="C13:AG22">
    <cfRule type="cellIs" dxfId="11" priority="34" operator="equal">
      <formula>0</formula>
    </cfRule>
  </conditionalFormatting>
  <conditionalFormatting sqref="C24:AG30">
    <cfRule type="cellIs" dxfId="10" priority="9" operator="equal">
      <formula>0</formula>
    </cfRule>
  </conditionalFormatting>
  <conditionalFormatting sqref="C32:AG35">
    <cfRule type="cellIs" dxfId="9" priority="8" operator="equal">
      <formula>0</formula>
    </cfRule>
  </conditionalFormatting>
  <conditionalFormatting sqref="C37:AG43">
    <cfRule type="cellIs" dxfId="8" priority="7" operator="equal">
      <formula>0</formula>
    </cfRule>
  </conditionalFormatting>
  <conditionalFormatting sqref="C45:AG63">
    <cfRule type="cellIs" dxfId="7" priority="6" operator="equal">
      <formula>0</formula>
    </cfRule>
  </conditionalFormatting>
  <conditionalFormatting sqref="C66:AG71">
    <cfRule type="cellIs" dxfId="6" priority="5" operator="equal">
      <formula>0</formula>
    </cfRule>
  </conditionalFormatting>
  <conditionalFormatting sqref="C73:AG79">
    <cfRule type="cellIs" dxfId="5" priority="4" operator="equal">
      <formula>0</formula>
    </cfRule>
  </conditionalFormatting>
  <conditionalFormatting sqref="C81:AG88">
    <cfRule type="cellIs" dxfId="4" priority="3" operator="equal">
      <formula>0</formula>
    </cfRule>
  </conditionalFormatting>
  <conditionalFormatting sqref="C90:AG93">
    <cfRule type="cellIs" dxfId="3" priority="2" operator="equal">
      <formula>0</formula>
    </cfRule>
  </conditionalFormatting>
  <conditionalFormatting sqref="C95:AG101">
    <cfRule type="cellIs" dxfId="2" priority="1" operator="equal">
      <formula>0</formula>
    </cfRule>
  </conditionalFormatting>
  <dataValidations xWindow="796" yWindow="346" count="1">
    <dataValidation allowBlank="1" showInputMessage="1" showErrorMessage="1" prompt="IMPORTANT: Please insert comments when some issue (Design or Documentation) is discovered, provide some details of what is missing or considered as wrong design." sqref="C1:Z1" xr:uid="{00000000-0002-0000-0000-000000000000}"/>
  </dataValidations>
  <hyperlinks>
    <hyperlink ref="B43" r:id="rId1" display="http://fe.tengizchevroil.com/D&amp;E/New_Folder/Field_Weld_Test_Requirements_17-Feb-2017.pdf"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xWindow="796" yWindow="346" count="2">
        <x14:dataValidation type="list" allowBlank="1" showInputMessage="1" showErrorMessage="1" prompt="NA = Not Applicable_x000a_0-NO ISSUES_x000a_1-DESIGN = wrong WPS, doesn't comply with standard, etc._x000a_2-DOCUMENTATION = DEDAC, files, etc. are missing in JP folder_x000a_3-INCOMPLETE = Not enough information is available to assess_x000a_4-MISSING = Technical errors _x000a_" xr:uid="{00000000-0002-0000-0000-000001000000}">
          <x14:formula1>
            <xm:f>Criteria!$B$2:$B$7</xm:f>
          </x14:formula1>
          <xm:sqref>C65:AG65</xm:sqref>
        </x14:dataValidation>
        <x14:dataValidation type="list" allowBlank="1" showInputMessage="1" showErrorMessage="1" prompt="NA = Not Applicable_x000a_0-NO ISSUES_x000a_1-DESIGN = wrong WPS, doesn't comply with standard, etc._x000a_2-DOCUMENTATION = DEDAC, files, etc. are missing in JP folder_x000a_3-INCOMPLETE = Not enough information is available to assess_x000a_4-ERROR = Technical errors, omissions _x000a_" xr:uid="{00000000-0002-0000-0000-000002000000}">
          <x14:formula1>
            <xm:f>Criteria!$B$2:$B$7</xm:f>
          </x14:formula1>
          <xm:sqref>C3:AG11 C24:AG30 C32:AG35 C37:AG43 C45:AG63 C66:AG71 C73:AG79 C81:AG88 C90:AG93 C95:AG101 C13:AG22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7"/>
  <sheetViews>
    <sheetView workbookViewId="0">
      <selection activeCell="B8" sqref="B8"/>
    </sheetView>
  </sheetViews>
  <sheetFormatPr defaultRowHeight="15" x14ac:dyDescent="0.25"/>
  <cols>
    <col min="2" max="2" width="24.42578125" customWidth="1"/>
    <col min="3" max="3" width="137.140625" style="1" customWidth="1"/>
  </cols>
  <sheetData>
    <row r="2" spans="2:3" ht="18" x14ac:dyDescent="0.25">
      <c r="B2" s="3" t="s">
        <v>101</v>
      </c>
      <c r="C2" s="4" t="s">
        <v>102</v>
      </c>
    </row>
    <row r="3" spans="2:3" ht="18" x14ac:dyDescent="0.25">
      <c r="B3" s="3" t="s">
        <v>103</v>
      </c>
      <c r="C3" s="4" t="s">
        <v>104</v>
      </c>
    </row>
    <row r="4" spans="2:3" ht="18" x14ac:dyDescent="0.25">
      <c r="B4" s="3" t="s">
        <v>105</v>
      </c>
      <c r="C4" s="4" t="s">
        <v>106</v>
      </c>
    </row>
    <row r="5" spans="2:3" ht="18" x14ac:dyDescent="0.25">
      <c r="B5" s="3" t="s">
        <v>107</v>
      </c>
      <c r="C5" s="4" t="s">
        <v>108</v>
      </c>
    </row>
    <row r="6" spans="2:3" ht="18" x14ac:dyDescent="0.25">
      <c r="B6" s="3" t="s">
        <v>109</v>
      </c>
      <c r="C6" s="4" t="s">
        <v>110</v>
      </c>
    </row>
    <row r="7" spans="2:3" ht="28.5" x14ac:dyDescent="0.25">
      <c r="B7" s="3" t="s">
        <v>111</v>
      </c>
      <c r="C7" s="4" t="s">
        <v>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8"/>
  <sheetViews>
    <sheetView zoomScaleNormal="100" workbookViewId="0">
      <pane xSplit="2" ySplit="1" topLeftCell="C47" activePane="bottomRight" state="frozen"/>
      <selection pane="topRight" activeCell="C1" sqref="C1"/>
      <selection pane="bottomLeft" activeCell="A2" sqref="A2"/>
      <selection pane="bottomRight" activeCell="B53" sqref="B53"/>
    </sheetView>
  </sheetViews>
  <sheetFormatPr defaultRowHeight="15" outlineLevelRow="1" x14ac:dyDescent="0.25"/>
  <cols>
    <col min="1" max="1" width="6.42578125" style="5" customWidth="1"/>
    <col min="2" max="2" width="82.5703125" style="1" customWidth="1"/>
    <col min="3" max="3" width="11.85546875" style="12" customWidth="1"/>
    <col min="4" max="5" width="13.5703125" style="12" customWidth="1"/>
    <col min="6" max="7" width="15" style="12" customWidth="1"/>
    <col min="8" max="8" width="13.5703125" style="12" customWidth="1"/>
  </cols>
  <sheetData>
    <row r="1" spans="1:9" ht="27" x14ac:dyDescent="0.25">
      <c r="B1" s="2" t="s">
        <v>113</v>
      </c>
      <c r="C1" s="10" t="str">
        <f>Criteria!B2</f>
        <v>NA</v>
      </c>
      <c r="D1" s="10" t="str">
        <f>Criteria!B3</f>
        <v>0 – No Issues</v>
      </c>
      <c r="E1" s="10" t="str">
        <f>Criteria!B4</f>
        <v>1 – Design</v>
      </c>
      <c r="F1" s="18" t="str">
        <f>Criteria!B5</f>
        <v>2 – Documentation</v>
      </c>
      <c r="G1" s="10" t="str">
        <f>Criteria!B6</f>
        <v xml:space="preserve">3 – Incomplete </v>
      </c>
      <c r="H1" s="10" t="str">
        <f>Criteria!B7</f>
        <v>4 – Error</v>
      </c>
    </row>
    <row r="2" spans="1:9" ht="18.75" x14ac:dyDescent="0.25">
      <c r="A2" s="6">
        <v>1</v>
      </c>
      <c r="B2" s="8" t="s">
        <v>1</v>
      </c>
      <c r="C2" s="11">
        <f t="shared" ref="C2:H2" si="0">SUM(C3:C11)</f>
        <v>0</v>
      </c>
      <c r="D2" s="11">
        <f t="shared" si="0"/>
        <v>0</v>
      </c>
      <c r="E2" s="11">
        <f t="shared" si="0"/>
        <v>0</v>
      </c>
      <c r="F2" s="11">
        <f t="shared" si="0"/>
        <v>0</v>
      </c>
      <c r="G2" s="11">
        <f t="shared" si="0"/>
        <v>0</v>
      </c>
      <c r="H2" s="11">
        <f t="shared" si="0"/>
        <v>0</v>
      </c>
      <c r="I2" s="11"/>
    </row>
    <row r="3" spans="1:9" ht="15" hidden="1" customHeight="1" outlineLevel="1" x14ac:dyDescent="0.25">
      <c r="A3" s="6">
        <v>1.1000000000000001</v>
      </c>
      <c r="B3" s="9" t="s">
        <v>2</v>
      </c>
      <c r="C3" s="12" t="str">
        <f>IF('AUDIT-Q'!$C3=0,"",COUNTIF('AUDIT-Q'!$C3:$J3,RESULTS!C$1))</f>
        <v/>
      </c>
      <c r="D3" s="12" t="str">
        <f>IF('AUDIT-Q'!$C3=0,"",COUNTIF('AUDIT-Q'!$C3:$J3,RESULTS!D$1))</f>
        <v/>
      </c>
      <c r="E3" s="12" t="str">
        <f>IF('AUDIT-Q'!$C3=0,"",COUNTIF('AUDIT-Q'!$C3:$J3,RESULTS!E$1))</f>
        <v/>
      </c>
      <c r="F3" s="12" t="str">
        <f>IF('AUDIT-Q'!$C3=0,"",COUNTIF('AUDIT-Q'!$C3:$J3,RESULTS!F$1))</f>
        <v/>
      </c>
      <c r="G3" s="12" t="str">
        <f>IF('AUDIT-Q'!$C3=0,"",COUNTIF('AUDIT-Q'!$C3:$J3,RESULTS!G$1))</f>
        <v/>
      </c>
      <c r="H3" s="12" t="str">
        <f>IF('AUDIT-Q'!$C3=0,"",COUNTIF('AUDIT-Q'!$C3:$J3,RESULTS!H$1))</f>
        <v/>
      </c>
      <c r="I3" s="11"/>
    </row>
    <row r="4" spans="1:9" ht="15" hidden="1" customHeight="1" outlineLevel="1" x14ac:dyDescent="0.25">
      <c r="A4" s="6">
        <v>1.2</v>
      </c>
      <c r="B4" s="9" t="s">
        <v>3</v>
      </c>
      <c r="C4" s="12" t="str">
        <f>IF('AUDIT-Q'!$C4=0,"",COUNTIF('AUDIT-Q'!$C4:$J4,RESULTS!C$1))</f>
        <v/>
      </c>
      <c r="D4" s="12" t="str">
        <f>IF('AUDIT-Q'!$C4=0,"",COUNTIF('AUDIT-Q'!$C4:$J4,RESULTS!D$1))</f>
        <v/>
      </c>
      <c r="E4" s="12" t="str">
        <f>IF('AUDIT-Q'!$C4=0,"",COUNTIF('AUDIT-Q'!$C4:$J4,RESULTS!E$1))</f>
        <v/>
      </c>
      <c r="F4" s="12" t="str">
        <f>IF('AUDIT-Q'!$C4=0,"",COUNTIF('AUDIT-Q'!$C4:$J4,RESULTS!F$1))</f>
        <v/>
      </c>
      <c r="G4" s="12" t="str">
        <f>IF('AUDIT-Q'!$C4=0,"",COUNTIF('AUDIT-Q'!$C4:$J4,RESULTS!G$1))</f>
        <v/>
      </c>
      <c r="H4" s="12" t="str">
        <f>IF('AUDIT-Q'!$C4=0,"",COUNTIF('AUDIT-Q'!$C4:$J4,RESULTS!H$1))</f>
        <v/>
      </c>
      <c r="I4" s="11"/>
    </row>
    <row r="5" spans="1:9" ht="15" hidden="1" customHeight="1" outlineLevel="1" x14ac:dyDescent="0.25">
      <c r="A5" s="6">
        <v>1.3</v>
      </c>
      <c r="B5" s="9" t="s">
        <v>114</v>
      </c>
      <c r="C5" s="12" t="str">
        <f>IF('AUDIT-Q'!$C5=0,"",COUNTIF('AUDIT-Q'!$C5:$J5,RESULTS!C$1))</f>
        <v/>
      </c>
      <c r="D5" s="12" t="str">
        <f>IF('AUDIT-Q'!$C5=0,"",COUNTIF('AUDIT-Q'!$C5:$J5,RESULTS!D$1))</f>
        <v/>
      </c>
      <c r="E5" s="12" t="str">
        <f>IF('AUDIT-Q'!$C5=0,"",COUNTIF('AUDIT-Q'!$C5:$J5,RESULTS!E$1))</f>
        <v/>
      </c>
      <c r="F5" s="12" t="str">
        <f>IF('AUDIT-Q'!$C5=0,"",COUNTIF('AUDIT-Q'!$C5:$J5,RESULTS!F$1))</f>
        <v/>
      </c>
      <c r="G5" s="12" t="str">
        <f>IF('AUDIT-Q'!$C5=0,"",COUNTIF('AUDIT-Q'!$C5:$J5,RESULTS!G$1))</f>
        <v/>
      </c>
      <c r="H5" s="12" t="str">
        <f>IF('AUDIT-Q'!$C5=0,"",COUNTIF('AUDIT-Q'!$C5:$J5,RESULTS!H$1))</f>
        <v/>
      </c>
      <c r="I5" s="11"/>
    </row>
    <row r="6" spans="1:9" ht="15" hidden="1" customHeight="1" outlineLevel="1" x14ac:dyDescent="0.25">
      <c r="A6" s="6">
        <v>1.4</v>
      </c>
      <c r="B6" s="9" t="s">
        <v>5</v>
      </c>
      <c r="C6" s="12" t="str">
        <f>IF('AUDIT-Q'!$C6=0,"",COUNTIF('AUDIT-Q'!$C6:$J6,RESULTS!C$1))</f>
        <v/>
      </c>
      <c r="D6" s="12" t="str">
        <f>IF('AUDIT-Q'!$C6=0,"",COUNTIF('AUDIT-Q'!$C6:$J6,RESULTS!D$1))</f>
        <v/>
      </c>
      <c r="E6" s="12" t="str">
        <f>IF('AUDIT-Q'!$C6=0,"",COUNTIF('AUDIT-Q'!$C6:$J6,RESULTS!E$1))</f>
        <v/>
      </c>
      <c r="F6" s="12" t="str">
        <f>IF('AUDIT-Q'!$C6=0,"",COUNTIF('AUDIT-Q'!$C6:$J6,RESULTS!F$1))</f>
        <v/>
      </c>
      <c r="G6" s="12" t="str">
        <f>IF('AUDIT-Q'!$C6=0,"",COUNTIF('AUDIT-Q'!$C6:$J6,RESULTS!G$1))</f>
        <v/>
      </c>
      <c r="H6" s="12" t="str">
        <f>IF('AUDIT-Q'!$C6=0,"",COUNTIF('AUDIT-Q'!$C6:$J6,RESULTS!H$1))</f>
        <v/>
      </c>
      <c r="I6" s="11"/>
    </row>
    <row r="7" spans="1:9" ht="30" hidden="1" customHeight="1" outlineLevel="1" x14ac:dyDescent="0.25">
      <c r="A7" s="6">
        <v>1.5</v>
      </c>
      <c r="B7" s="9" t="s">
        <v>115</v>
      </c>
      <c r="C7" s="12" t="str">
        <f>IF('AUDIT-Q'!$C7=0,"",COUNTIF('AUDIT-Q'!$C7:$J7,RESULTS!C$1))</f>
        <v/>
      </c>
      <c r="D7" s="12" t="str">
        <f>IF('AUDIT-Q'!$C7=0,"",COUNTIF('AUDIT-Q'!$C7:$J7,RESULTS!D$1))</f>
        <v/>
      </c>
      <c r="E7" s="12" t="str">
        <f>IF('AUDIT-Q'!$C7=0,"",COUNTIF('AUDIT-Q'!$C7:$J7,RESULTS!E$1))</f>
        <v/>
      </c>
      <c r="F7" s="12" t="str">
        <f>IF('AUDIT-Q'!$C7=0,"",COUNTIF('AUDIT-Q'!$C7:$J7,RESULTS!F$1))</f>
        <v/>
      </c>
      <c r="G7" s="12" t="str">
        <f>IF('AUDIT-Q'!$C7=0,"",COUNTIF('AUDIT-Q'!$C7:$J7,RESULTS!G$1))</f>
        <v/>
      </c>
      <c r="H7" s="12" t="str">
        <f>IF('AUDIT-Q'!$C7=0,"",COUNTIF('AUDIT-Q'!$C7:$J7,RESULTS!H$1))</f>
        <v/>
      </c>
      <c r="I7" s="11"/>
    </row>
    <row r="8" spans="1:9" ht="30" hidden="1" customHeight="1" outlineLevel="1" x14ac:dyDescent="0.25">
      <c r="A8" s="6">
        <v>1.6</v>
      </c>
      <c r="B8" s="9" t="s">
        <v>116</v>
      </c>
      <c r="C8" s="12" t="str">
        <f>IF('AUDIT-Q'!$C8=0,"",COUNTIF('AUDIT-Q'!$C8:$J8,RESULTS!C$1))</f>
        <v/>
      </c>
      <c r="D8" s="12" t="str">
        <f>IF('AUDIT-Q'!$C8=0,"",COUNTIF('AUDIT-Q'!$C8:$J8,RESULTS!D$1))</f>
        <v/>
      </c>
      <c r="E8" s="12" t="str">
        <f>IF('AUDIT-Q'!$C8=0,"",COUNTIF('AUDIT-Q'!$C8:$J8,RESULTS!E$1))</f>
        <v/>
      </c>
      <c r="F8" s="12" t="str">
        <f>IF('AUDIT-Q'!$C8=0,"",COUNTIF('AUDIT-Q'!$C8:$J8,RESULTS!F$1))</f>
        <v/>
      </c>
      <c r="G8" s="12" t="str">
        <f>IF('AUDIT-Q'!$C8=0,"",COUNTIF('AUDIT-Q'!$C8:$J8,RESULTS!G$1))</f>
        <v/>
      </c>
      <c r="H8" s="12" t="str">
        <f>IF('AUDIT-Q'!$C8=0,"",COUNTIF('AUDIT-Q'!$C8:$J8,RESULTS!H$1))</f>
        <v/>
      </c>
      <c r="I8" s="11"/>
    </row>
    <row r="9" spans="1:9" ht="15" hidden="1" customHeight="1" outlineLevel="1" x14ac:dyDescent="0.25">
      <c r="A9" s="6">
        <v>1.7</v>
      </c>
      <c r="B9" s="9" t="s">
        <v>117</v>
      </c>
      <c r="C9" s="12" t="str">
        <f>IF('AUDIT-Q'!$C9=0,"",COUNTIF('AUDIT-Q'!$C9:$J9,RESULTS!C$1))</f>
        <v/>
      </c>
      <c r="D9" s="12" t="str">
        <f>IF('AUDIT-Q'!$C9=0,"",COUNTIF('AUDIT-Q'!$C9:$J9,RESULTS!D$1))</f>
        <v/>
      </c>
      <c r="E9" s="12" t="str">
        <f>IF('AUDIT-Q'!$C9=0,"",COUNTIF('AUDIT-Q'!$C9:$J9,RESULTS!E$1))</f>
        <v/>
      </c>
      <c r="F9" s="12" t="str">
        <f>IF('AUDIT-Q'!$C9=0,"",COUNTIF('AUDIT-Q'!$C9:$J9,RESULTS!F$1))</f>
        <v/>
      </c>
      <c r="G9" s="12" t="str">
        <f>IF('AUDIT-Q'!$C9=0,"",COUNTIF('AUDIT-Q'!$C9:$J9,RESULTS!G$1))</f>
        <v/>
      </c>
      <c r="H9" s="12" t="str">
        <f>IF('AUDIT-Q'!$C9=0,"",COUNTIF('AUDIT-Q'!$C9:$J9,RESULTS!H$1))</f>
        <v/>
      </c>
      <c r="I9" s="11"/>
    </row>
    <row r="10" spans="1:9" ht="15" hidden="1" customHeight="1" outlineLevel="1" x14ac:dyDescent="0.25">
      <c r="A10" s="6">
        <v>1.8</v>
      </c>
      <c r="B10" s="9" t="s">
        <v>9</v>
      </c>
      <c r="C10" s="12" t="str">
        <f>IF('AUDIT-Q'!$C10=0,"",COUNTIF('AUDIT-Q'!$C10:$J10,RESULTS!C$1))</f>
        <v/>
      </c>
      <c r="D10" s="12" t="str">
        <f>IF('AUDIT-Q'!$C10=0,"",COUNTIF('AUDIT-Q'!$C10:$J10,RESULTS!D$1))</f>
        <v/>
      </c>
      <c r="E10" s="12" t="str">
        <f>IF('AUDIT-Q'!$C10=0,"",COUNTIF('AUDIT-Q'!$C10:$J10,RESULTS!E$1))</f>
        <v/>
      </c>
      <c r="F10" s="12" t="str">
        <f>IF('AUDIT-Q'!$C10=0,"",COUNTIF('AUDIT-Q'!$C10:$J10,RESULTS!F$1))</f>
        <v/>
      </c>
      <c r="G10" s="12" t="str">
        <f>IF('AUDIT-Q'!$C10=0,"",COUNTIF('AUDIT-Q'!$C10:$J10,RESULTS!G$1))</f>
        <v/>
      </c>
      <c r="H10" s="12" t="str">
        <f>IF('AUDIT-Q'!$C10=0,"",COUNTIF('AUDIT-Q'!$C10:$J10,RESULTS!H$1))</f>
        <v/>
      </c>
      <c r="I10" s="11"/>
    </row>
    <row r="11" spans="1:9" ht="30" hidden="1" customHeight="1" outlineLevel="1" x14ac:dyDescent="0.25">
      <c r="A11" s="6">
        <v>1.1100000000000001</v>
      </c>
      <c r="B11" s="9" t="s">
        <v>10</v>
      </c>
      <c r="C11" s="12" t="str">
        <f>IF('AUDIT-Q'!$C11=0,"",COUNTIF('AUDIT-Q'!$C11:$J11,RESULTS!C$1))</f>
        <v/>
      </c>
      <c r="D11" s="12" t="str">
        <f>IF('AUDIT-Q'!$C11=0,"",COUNTIF('AUDIT-Q'!$C11:$J11,RESULTS!D$1))</f>
        <v/>
      </c>
      <c r="E11" s="12" t="str">
        <f>IF('AUDIT-Q'!$C11=0,"",COUNTIF('AUDIT-Q'!$C11:$J11,RESULTS!E$1))</f>
        <v/>
      </c>
      <c r="F11" s="12" t="str">
        <f>IF('AUDIT-Q'!$C11=0,"",COUNTIF('AUDIT-Q'!$C11:$J11,RESULTS!F$1))</f>
        <v/>
      </c>
      <c r="G11" s="12" t="str">
        <f>IF('AUDIT-Q'!$C11=0,"",COUNTIF('AUDIT-Q'!$C11:$J11,RESULTS!G$1))</f>
        <v/>
      </c>
      <c r="H11" s="12" t="str">
        <f>IF('AUDIT-Q'!$C11=0,"",COUNTIF('AUDIT-Q'!$C11:$J11,RESULTS!H$1))</f>
        <v/>
      </c>
      <c r="I11" s="11"/>
    </row>
    <row r="12" spans="1:9" ht="18.75" collapsed="1" x14ac:dyDescent="0.25">
      <c r="A12" s="6">
        <v>2</v>
      </c>
      <c r="B12" s="8" t="s">
        <v>11</v>
      </c>
      <c r="C12" s="11" t="e">
        <f t="shared" ref="C12:H12" si="1">SUM(C13:C25)</f>
        <v>#REF!</v>
      </c>
      <c r="D12" s="11" t="e">
        <f t="shared" si="1"/>
        <v>#REF!</v>
      </c>
      <c r="E12" s="11" t="e">
        <f t="shared" si="1"/>
        <v>#REF!</v>
      </c>
      <c r="F12" s="11" t="e">
        <f t="shared" si="1"/>
        <v>#REF!</v>
      </c>
      <c r="G12" s="11" t="e">
        <f t="shared" si="1"/>
        <v>#REF!</v>
      </c>
      <c r="H12" s="11" t="e">
        <f t="shared" si="1"/>
        <v>#REF!</v>
      </c>
    </row>
    <row r="13" spans="1:9" ht="15" hidden="1" customHeight="1" outlineLevel="1" x14ac:dyDescent="0.25">
      <c r="A13" s="6">
        <v>2.1</v>
      </c>
      <c r="B13" s="9" t="s">
        <v>118</v>
      </c>
      <c r="C13" s="12" t="e">
        <f>IF('AUDIT-Q'!#REF!=0,"",COUNTIF('AUDIT-Q'!#REF!,RESULTS!C$1))</f>
        <v>#REF!</v>
      </c>
      <c r="D13" s="12" t="e">
        <f>IF('AUDIT-Q'!#REF!=0,"",COUNTIF('AUDIT-Q'!#REF!,RESULTS!D$1))</f>
        <v>#REF!</v>
      </c>
      <c r="E13" s="12" t="e">
        <f>IF('AUDIT-Q'!#REF!=0,"",COUNTIF('AUDIT-Q'!#REF!,RESULTS!E$1))</f>
        <v>#REF!</v>
      </c>
      <c r="F13" s="12" t="e">
        <f>IF('AUDIT-Q'!#REF!=0,"",COUNTIF('AUDIT-Q'!#REF!,RESULTS!F$1))</f>
        <v>#REF!</v>
      </c>
      <c r="G13" s="12" t="e">
        <f>IF('AUDIT-Q'!#REF!=0,"",COUNTIF('AUDIT-Q'!#REF!,RESULTS!G$1))</f>
        <v>#REF!</v>
      </c>
      <c r="H13" s="12" t="e">
        <f>IF('AUDIT-Q'!#REF!=0,"",COUNTIF('AUDIT-Q'!#REF!,RESULTS!H$1))</f>
        <v>#REF!</v>
      </c>
    </row>
    <row r="14" spans="1:9" ht="15" hidden="1" customHeight="1" outlineLevel="1" x14ac:dyDescent="0.25">
      <c r="A14" s="6">
        <v>2.2000000000000002</v>
      </c>
      <c r="B14" s="9" t="s">
        <v>119</v>
      </c>
      <c r="C14" s="12" t="str">
        <f>IF('AUDIT-Q'!$C13=0,"",COUNTIF('AUDIT-Q'!$C13:$J13,RESULTS!C$1))</f>
        <v/>
      </c>
      <c r="D14" s="12" t="str">
        <f>IF('AUDIT-Q'!$C13=0,"",COUNTIF('AUDIT-Q'!$C13:$J13,RESULTS!D$1))</f>
        <v/>
      </c>
      <c r="E14" s="12" t="str">
        <f>IF('AUDIT-Q'!$C13=0,"",COUNTIF('AUDIT-Q'!$C13:$J13,RESULTS!E$1))</f>
        <v/>
      </c>
      <c r="F14" s="12" t="str">
        <f>IF('AUDIT-Q'!$C13=0,"",COUNTIF('AUDIT-Q'!$C13:$J13,RESULTS!F$1))</f>
        <v/>
      </c>
      <c r="G14" s="12" t="str">
        <f>IF('AUDIT-Q'!$C13=0,"",COUNTIF('AUDIT-Q'!$C13:$J13,RESULTS!G$1))</f>
        <v/>
      </c>
      <c r="H14" s="12" t="str">
        <f>IF('AUDIT-Q'!$C13=0,"",COUNTIF('AUDIT-Q'!$C13:$J13,RESULTS!H$1))</f>
        <v/>
      </c>
    </row>
    <row r="15" spans="1:9" ht="15" hidden="1" customHeight="1" outlineLevel="1" x14ac:dyDescent="0.25">
      <c r="A15" s="6">
        <v>2.2999999999999998</v>
      </c>
      <c r="B15" s="9" t="s">
        <v>120</v>
      </c>
      <c r="C15" s="12" t="e">
        <f>IF('AUDIT-Q'!#REF!=0,"",COUNTIF('AUDIT-Q'!#REF!,RESULTS!C$1))</f>
        <v>#REF!</v>
      </c>
      <c r="D15" s="12" t="e">
        <f>IF('AUDIT-Q'!#REF!=0,"",COUNTIF('AUDIT-Q'!#REF!,RESULTS!D$1))</f>
        <v>#REF!</v>
      </c>
      <c r="E15" s="12" t="e">
        <f>IF('AUDIT-Q'!#REF!=0,"",COUNTIF('AUDIT-Q'!#REF!,RESULTS!E$1))</f>
        <v>#REF!</v>
      </c>
      <c r="F15" s="12" t="e">
        <f>IF('AUDIT-Q'!#REF!=0,"",COUNTIF('AUDIT-Q'!#REF!,RESULTS!F$1))</f>
        <v>#REF!</v>
      </c>
      <c r="G15" s="12" t="e">
        <f>IF('AUDIT-Q'!#REF!=0,"",COUNTIF('AUDIT-Q'!#REF!,RESULTS!G$1))</f>
        <v>#REF!</v>
      </c>
      <c r="H15" s="12" t="e">
        <f>IF('AUDIT-Q'!#REF!=0,"",COUNTIF('AUDIT-Q'!#REF!,RESULTS!H$1))</f>
        <v>#REF!</v>
      </c>
    </row>
    <row r="16" spans="1:9" ht="30" hidden="1" customHeight="1" outlineLevel="1" x14ac:dyDescent="0.25">
      <c r="A16" s="6">
        <v>2.4</v>
      </c>
      <c r="B16" s="9" t="s">
        <v>13</v>
      </c>
      <c r="C16" s="12" t="str">
        <f>IF('AUDIT-Q'!$C14=0,"",COUNTIF('AUDIT-Q'!$C14:$J14,RESULTS!C$1))</f>
        <v/>
      </c>
      <c r="D16" s="12" t="str">
        <f>IF('AUDIT-Q'!$C14=0,"",COUNTIF('AUDIT-Q'!$C14:$J14,RESULTS!D$1))</f>
        <v/>
      </c>
      <c r="E16" s="12" t="str">
        <f>IF('AUDIT-Q'!$C14=0,"",COUNTIF('AUDIT-Q'!$C14:$J14,RESULTS!E$1))</f>
        <v/>
      </c>
      <c r="F16" s="12" t="str">
        <f>IF('AUDIT-Q'!$C14=0,"",COUNTIF('AUDIT-Q'!$C14:$J14,RESULTS!F$1))</f>
        <v/>
      </c>
      <c r="G16" s="12" t="str">
        <f>IF('AUDIT-Q'!$C14=0,"",COUNTIF('AUDIT-Q'!$C14:$J14,RESULTS!G$1))</f>
        <v/>
      </c>
      <c r="H16" s="12" t="str">
        <f>IF('AUDIT-Q'!$C14=0,"",COUNTIF('AUDIT-Q'!$C14:$J14,RESULTS!H$1))</f>
        <v/>
      </c>
    </row>
    <row r="17" spans="1:8" ht="30" hidden="1" customHeight="1" outlineLevel="1" x14ac:dyDescent="0.25">
      <c r="A17" s="6">
        <v>2.5</v>
      </c>
      <c r="B17" s="9" t="s">
        <v>121</v>
      </c>
      <c r="C17" s="12" t="e">
        <f>IF('AUDIT-Q'!#REF!=0,"",COUNTIF('AUDIT-Q'!#REF!,RESULTS!C$1))</f>
        <v>#REF!</v>
      </c>
      <c r="D17" s="12" t="e">
        <f>IF('AUDIT-Q'!#REF!=0,"",COUNTIF('AUDIT-Q'!#REF!,RESULTS!D$1))</f>
        <v>#REF!</v>
      </c>
      <c r="E17" s="12" t="e">
        <f>IF('AUDIT-Q'!#REF!=0,"",COUNTIF('AUDIT-Q'!#REF!,RESULTS!E$1))</f>
        <v>#REF!</v>
      </c>
      <c r="F17" s="12" t="e">
        <f>IF('AUDIT-Q'!#REF!=0,"",COUNTIF('AUDIT-Q'!#REF!,RESULTS!F$1))</f>
        <v>#REF!</v>
      </c>
      <c r="G17" s="12" t="e">
        <f>IF('AUDIT-Q'!#REF!=0,"",COUNTIF('AUDIT-Q'!#REF!,RESULTS!G$1))</f>
        <v>#REF!</v>
      </c>
      <c r="H17" s="12" t="e">
        <f>IF('AUDIT-Q'!#REF!=0,"",COUNTIF('AUDIT-Q'!#REF!,RESULTS!H$1))</f>
        <v>#REF!</v>
      </c>
    </row>
    <row r="18" spans="1:8" ht="30" hidden="1" customHeight="1" outlineLevel="1" x14ac:dyDescent="0.25">
      <c r="A18" s="6">
        <v>2.6</v>
      </c>
      <c r="B18" s="9" t="s">
        <v>14</v>
      </c>
      <c r="C18" s="12" t="str">
        <f>IF('AUDIT-Q'!$C15=0,"",COUNTIF('AUDIT-Q'!$C15:$J15,RESULTS!C$1))</f>
        <v/>
      </c>
      <c r="D18" s="12" t="str">
        <f>IF('AUDIT-Q'!$C15=0,"",COUNTIF('AUDIT-Q'!$C15:$J15,RESULTS!D$1))</f>
        <v/>
      </c>
      <c r="E18" s="12" t="str">
        <f>IF('AUDIT-Q'!$C15=0,"",COUNTIF('AUDIT-Q'!$C15:$J15,RESULTS!E$1))</f>
        <v/>
      </c>
      <c r="F18" s="12" t="str">
        <f>IF('AUDIT-Q'!$C15=0,"",COUNTIF('AUDIT-Q'!$C15:$J15,RESULTS!F$1))</f>
        <v/>
      </c>
      <c r="G18" s="12" t="str">
        <f>IF('AUDIT-Q'!$C15=0,"",COUNTIF('AUDIT-Q'!$C15:$J15,RESULTS!G$1))</f>
        <v/>
      </c>
      <c r="H18" s="12" t="str">
        <f>IF('AUDIT-Q'!$C15=0,"",COUNTIF('AUDIT-Q'!$C15:$J15,RESULTS!H$1))</f>
        <v/>
      </c>
    </row>
    <row r="19" spans="1:8" ht="15" hidden="1" customHeight="1" outlineLevel="1" x14ac:dyDescent="0.25">
      <c r="A19" s="6">
        <v>2.7</v>
      </c>
      <c r="B19" s="9" t="s">
        <v>15</v>
      </c>
      <c r="C19" s="12" t="str">
        <f>IF('AUDIT-Q'!$C16=0,"",COUNTIF('AUDIT-Q'!$C16:$J16,RESULTS!C$1))</f>
        <v/>
      </c>
      <c r="D19" s="12" t="str">
        <f>IF('AUDIT-Q'!$C16=0,"",COUNTIF('AUDIT-Q'!$C16:$J16,RESULTS!D$1))</f>
        <v/>
      </c>
      <c r="E19" s="12" t="str">
        <f>IF('AUDIT-Q'!$C16=0,"",COUNTIF('AUDIT-Q'!$C16:$J16,RESULTS!E$1))</f>
        <v/>
      </c>
      <c r="F19" s="12" t="str">
        <f>IF('AUDIT-Q'!$C16=0,"",COUNTIF('AUDIT-Q'!$C16:$J16,RESULTS!F$1))</f>
        <v/>
      </c>
      <c r="G19" s="12" t="str">
        <f>IF('AUDIT-Q'!$C16=0,"",COUNTIF('AUDIT-Q'!$C16:$J16,RESULTS!G$1))</f>
        <v/>
      </c>
      <c r="H19" s="12" t="str">
        <f>IF('AUDIT-Q'!$C16=0,"",COUNTIF('AUDIT-Q'!$C16:$J16,RESULTS!H$1))</f>
        <v/>
      </c>
    </row>
    <row r="20" spans="1:8" ht="45" hidden="1" customHeight="1" outlineLevel="1" x14ac:dyDescent="0.25">
      <c r="A20" s="6">
        <v>2.8</v>
      </c>
      <c r="B20" s="9" t="s">
        <v>16</v>
      </c>
      <c r="C20" s="12" t="str">
        <f>IF('AUDIT-Q'!$C17=0,"",COUNTIF('AUDIT-Q'!$C17:$J17,RESULTS!C$1))</f>
        <v/>
      </c>
      <c r="D20" s="12" t="str">
        <f>IF('AUDIT-Q'!$C17=0,"",COUNTIF('AUDIT-Q'!$C17:$J17,RESULTS!D$1))</f>
        <v/>
      </c>
      <c r="E20" s="12" t="str">
        <f>IF('AUDIT-Q'!$C17=0,"",COUNTIF('AUDIT-Q'!$C17:$J17,RESULTS!E$1))</f>
        <v/>
      </c>
      <c r="F20" s="12" t="str">
        <f>IF('AUDIT-Q'!$C17=0,"",COUNTIF('AUDIT-Q'!$C17:$J17,RESULTS!F$1))</f>
        <v/>
      </c>
      <c r="G20" s="12" t="str">
        <f>IF('AUDIT-Q'!$C17=0,"",COUNTIF('AUDIT-Q'!$C17:$J17,RESULTS!G$1))</f>
        <v/>
      </c>
      <c r="H20" s="12" t="str">
        <f>IF('AUDIT-Q'!$C17=0,"",COUNTIF('AUDIT-Q'!$C17:$J17,RESULTS!H$1))</f>
        <v/>
      </c>
    </row>
    <row r="21" spans="1:8" ht="15" hidden="1" customHeight="1" outlineLevel="1" x14ac:dyDescent="0.25">
      <c r="A21" s="6">
        <v>2.9</v>
      </c>
      <c r="B21" s="9" t="s">
        <v>17</v>
      </c>
      <c r="C21" s="12" t="str">
        <f>IF('AUDIT-Q'!$C18=0,"",COUNTIF('AUDIT-Q'!$C18:$J18,RESULTS!C$1))</f>
        <v/>
      </c>
      <c r="D21" s="12" t="str">
        <f>IF('AUDIT-Q'!$C18=0,"",COUNTIF('AUDIT-Q'!$C18:$J18,RESULTS!D$1))</f>
        <v/>
      </c>
      <c r="E21" s="12" t="str">
        <f>IF('AUDIT-Q'!$C18=0,"",COUNTIF('AUDIT-Q'!$C18:$J18,RESULTS!E$1))</f>
        <v/>
      </c>
      <c r="F21" s="12" t="str">
        <f>IF('AUDIT-Q'!$C18=0,"",COUNTIF('AUDIT-Q'!$C18:$J18,RESULTS!F$1))</f>
        <v/>
      </c>
      <c r="G21" s="12" t="str">
        <f>IF('AUDIT-Q'!$C18=0,"",COUNTIF('AUDIT-Q'!$C18:$J18,RESULTS!G$1))</f>
        <v/>
      </c>
      <c r="H21" s="12" t="str">
        <f>IF('AUDIT-Q'!$C18=0,"",COUNTIF('AUDIT-Q'!$C18:$J18,RESULTS!H$1))</f>
        <v/>
      </c>
    </row>
    <row r="22" spans="1:8" ht="15" hidden="1" customHeight="1" outlineLevel="1" x14ac:dyDescent="0.25">
      <c r="A22" s="7">
        <v>2.1</v>
      </c>
      <c r="B22" s="9" t="s">
        <v>18</v>
      </c>
      <c r="C22" s="12" t="str">
        <f>IF('AUDIT-Q'!$C19=0,"",COUNTIF('AUDIT-Q'!$C19:$J19,RESULTS!C$1))</f>
        <v/>
      </c>
      <c r="D22" s="12" t="str">
        <f>IF('AUDIT-Q'!$C19=0,"",COUNTIF('AUDIT-Q'!$C19:$J19,RESULTS!D$1))</f>
        <v/>
      </c>
      <c r="E22" s="12" t="str">
        <f>IF('AUDIT-Q'!$C19=0,"",COUNTIF('AUDIT-Q'!$C19:$J19,RESULTS!E$1))</f>
        <v/>
      </c>
      <c r="F22" s="12" t="str">
        <f>IF('AUDIT-Q'!$C19=0,"",COUNTIF('AUDIT-Q'!$C19:$J19,RESULTS!F$1))</f>
        <v/>
      </c>
      <c r="G22" s="12" t="str">
        <f>IF('AUDIT-Q'!$C19=0,"",COUNTIF('AUDIT-Q'!$C19:$J19,RESULTS!G$1))</f>
        <v/>
      </c>
      <c r="H22" s="12" t="str">
        <f>IF('AUDIT-Q'!$C19=0,"",COUNTIF('AUDIT-Q'!$C19:$J19,RESULTS!H$1))</f>
        <v/>
      </c>
    </row>
    <row r="23" spans="1:8" ht="15" hidden="1" customHeight="1" outlineLevel="1" x14ac:dyDescent="0.25">
      <c r="A23" s="6">
        <v>2.11</v>
      </c>
      <c r="B23" s="9" t="s">
        <v>19</v>
      </c>
      <c r="C23" s="12" t="str">
        <f>IF('AUDIT-Q'!$C20=0,"",COUNTIF('AUDIT-Q'!$C20:$J20,RESULTS!C$1))</f>
        <v/>
      </c>
      <c r="D23" s="12" t="str">
        <f>IF('AUDIT-Q'!$C20=0,"",COUNTIF('AUDIT-Q'!$C20:$J20,RESULTS!D$1))</f>
        <v/>
      </c>
      <c r="E23" s="12" t="str">
        <f>IF('AUDIT-Q'!$C20=0,"",COUNTIF('AUDIT-Q'!$C20:$J20,RESULTS!E$1))</f>
        <v/>
      </c>
      <c r="F23" s="12" t="str">
        <f>IF('AUDIT-Q'!$C20=0,"",COUNTIF('AUDIT-Q'!$C20:$J20,RESULTS!F$1))</f>
        <v/>
      </c>
      <c r="G23" s="12" t="str">
        <f>IF('AUDIT-Q'!$C20=0,"",COUNTIF('AUDIT-Q'!$C20:$J20,RESULTS!G$1))</f>
        <v/>
      </c>
      <c r="H23" s="12" t="str">
        <f>IF('AUDIT-Q'!$C20=0,"",COUNTIF('AUDIT-Q'!$C20:$J20,RESULTS!H$1))</f>
        <v/>
      </c>
    </row>
    <row r="24" spans="1:8" ht="30" hidden="1" customHeight="1" outlineLevel="1" x14ac:dyDescent="0.25">
      <c r="A24" s="6">
        <v>2.12</v>
      </c>
      <c r="B24" s="9" t="s">
        <v>20</v>
      </c>
      <c r="C24" s="12" t="str">
        <f>IF('AUDIT-Q'!$C21=0,"",COUNTIF('AUDIT-Q'!$C21:$J21,RESULTS!C$1))</f>
        <v/>
      </c>
      <c r="D24" s="12" t="str">
        <f>IF('AUDIT-Q'!$C21=0,"",COUNTIF('AUDIT-Q'!$C21:$J21,RESULTS!D$1))</f>
        <v/>
      </c>
      <c r="E24" s="12" t="str">
        <f>IF('AUDIT-Q'!$C21=0,"",COUNTIF('AUDIT-Q'!$C21:$J21,RESULTS!E$1))</f>
        <v/>
      </c>
      <c r="F24" s="12" t="str">
        <f>IF('AUDIT-Q'!$C21=0,"",COUNTIF('AUDIT-Q'!$C21:$J21,RESULTS!F$1))</f>
        <v/>
      </c>
      <c r="G24" s="12" t="str">
        <f>IF('AUDIT-Q'!$C21=0,"",COUNTIF('AUDIT-Q'!$C21:$J21,RESULTS!G$1))</f>
        <v/>
      </c>
      <c r="H24" s="12" t="str">
        <f>IF('AUDIT-Q'!$C21=0,"",COUNTIF('AUDIT-Q'!$C21:$J21,RESULTS!H$1))</f>
        <v/>
      </c>
    </row>
    <row r="25" spans="1:8" ht="60" hidden="1" customHeight="1" outlineLevel="1" x14ac:dyDescent="0.25">
      <c r="A25" s="7">
        <v>2.13</v>
      </c>
      <c r="B25" s="9" t="s">
        <v>21</v>
      </c>
      <c r="C25" s="12" t="str">
        <f>IF('AUDIT-Q'!$C22=0,"",COUNTIF('AUDIT-Q'!$C22:$J22,RESULTS!C$1))</f>
        <v/>
      </c>
      <c r="D25" s="12" t="str">
        <f>IF('AUDIT-Q'!$C22=0,"",COUNTIF('AUDIT-Q'!$C22:$J22,RESULTS!D$1))</f>
        <v/>
      </c>
      <c r="E25" s="12" t="str">
        <f>IF('AUDIT-Q'!$C22=0,"",COUNTIF('AUDIT-Q'!$C22:$J22,RESULTS!E$1))</f>
        <v/>
      </c>
      <c r="F25" s="12" t="str">
        <f>IF('AUDIT-Q'!$C22=0,"",COUNTIF('AUDIT-Q'!$C22:$J22,RESULTS!F$1))</f>
        <v/>
      </c>
      <c r="G25" s="12" t="str">
        <f>IF('AUDIT-Q'!$C22=0,"",COUNTIF('AUDIT-Q'!$C22:$J22,RESULTS!G$1))</f>
        <v/>
      </c>
      <c r="H25" s="12" t="str">
        <f>IF('AUDIT-Q'!$C22=0,"",COUNTIF('AUDIT-Q'!$C22:$J22,RESULTS!H$1))</f>
        <v/>
      </c>
    </row>
    <row r="26" spans="1:8" ht="18.75" collapsed="1" x14ac:dyDescent="0.25">
      <c r="A26" s="6">
        <v>3</v>
      </c>
      <c r="B26" s="8" t="s">
        <v>22</v>
      </c>
      <c r="C26" s="11">
        <f t="shared" ref="C26:H26" si="2">SUM(C27:C33)</f>
        <v>0</v>
      </c>
      <c r="D26" s="11">
        <f t="shared" si="2"/>
        <v>0</v>
      </c>
      <c r="E26" s="11">
        <f t="shared" si="2"/>
        <v>0</v>
      </c>
      <c r="F26" s="11">
        <f t="shared" si="2"/>
        <v>0</v>
      </c>
      <c r="G26" s="11">
        <f t="shared" si="2"/>
        <v>0</v>
      </c>
      <c r="H26" s="11">
        <f t="shared" si="2"/>
        <v>0</v>
      </c>
    </row>
    <row r="27" spans="1:8" ht="30" hidden="1" customHeight="1" outlineLevel="1" x14ac:dyDescent="0.25">
      <c r="A27" s="6">
        <v>3.1</v>
      </c>
      <c r="B27" s="9" t="s">
        <v>23</v>
      </c>
      <c r="C27" s="12" t="str">
        <f>IF('AUDIT-Q'!$C24=0,"",COUNTIF('AUDIT-Q'!$C24:$J24,RESULTS!C$1))</f>
        <v/>
      </c>
      <c r="D27" s="12" t="str">
        <f>IF('AUDIT-Q'!$C24=0,"",COUNTIF('AUDIT-Q'!$C24:$J24,RESULTS!D$1))</f>
        <v/>
      </c>
      <c r="E27" s="12" t="str">
        <f>IF('AUDIT-Q'!$C24=0,"",COUNTIF('AUDIT-Q'!$C24:$J24,RESULTS!E$1))</f>
        <v/>
      </c>
      <c r="F27" s="12" t="str">
        <f>IF('AUDIT-Q'!$C24=0,"",COUNTIF('AUDIT-Q'!$C24:$J24,RESULTS!F$1))</f>
        <v/>
      </c>
      <c r="G27" s="12" t="str">
        <f>IF('AUDIT-Q'!$C24=0,"",COUNTIF('AUDIT-Q'!$C24:$J24,RESULTS!G$1))</f>
        <v/>
      </c>
      <c r="H27" s="12" t="str">
        <f>IF('AUDIT-Q'!$C24=0,"",COUNTIF('AUDIT-Q'!$C24:$J24,RESULTS!H$1))</f>
        <v/>
      </c>
    </row>
    <row r="28" spans="1:8" ht="15" hidden="1" customHeight="1" outlineLevel="1" x14ac:dyDescent="0.25">
      <c r="A28" s="6">
        <v>3.2</v>
      </c>
      <c r="B28" s="9" t="s">
        <v>24</v>
      </c>
      <c r="C28" s="12" t="str">
        <f>IF('AUDIT-Q'!$C25=0,"",COUNTIF('AUDIT-Q'!$C25:$J25,RESULTS!C$1))</f>
        <v/>
      </c>
      <c r="D28" s="12" t="str">
        <f>IF('AUDIT-Q'!$C25=0,"",COUNTIF('AUDIT-Q'!$C25:$J25,RESULTS!D$1))</f>
        <v/>
      </c>
      <c r="E28" s="12" t="str">
        <f>IF('AUDIT-Q'!$C25=0,"",COUNTIF('AUDIT-Q'!$C25:$J25,RESULTS!E$1))</f>
        <v/>
      </c>
      <c r="F28" s="12" t="str">
        <f>IF('AUDIT-Q'!$C25=0,"",COUNTIF('AUDIT-Q'!$C25:$J25,RESULTS!F$1))</f>
        <v/>
      </c>
      <c r="G28" s="12" t="str">
        <f>IF('AUDIT-Q'!$C25=0,"",COUNTIF('AUDIT-Q'!$C25:$J25,RESULTS!G$1))</f>
        <v/>
      </c>
      <c r="H28" s="12" t="str">
        <f>IF('AUDIT-Q'!$C25=0,"",COUNTIF('AUDIT-Q'!$C25:$J25,RESULTS!H$1))</f>
        <v/>
      </c>
    </row>
    <row r="29" spans="1:8" ht="30" hidden="1" customHeight="1" outlineLevel="1" x14ac:dyDescent="0.25">
      <c r="A29" s="6">
        <v>3.3</v>
      </c>
      <c r="B29" s="9" t="s">
        <v>25</v>
      </c>
      <c r="C29" s="12" t="str">
        <f>IF('AUDIT-Q'!$C26=0,"",COUNTIF('AUDIT-Q'!$C26:$J26,RESULTS!C$1))</f>
        <v/>
      </c>
      <c r="D29" s="12" t="str">
        <f>IF('AUDIT-Q'!$C26=0,"",COUNTIF('AUDIT-Q'!$C26:$J26,RESULTS!D$1))</f>
        <v/>
      </c>
      <c r="E29" s="12" t="str">
        <f>IF('AUDIT-Q'!$C26=0,"",COUNTIF('AUDIT-Q'!$C26:$J26,RESULTS!E$1))</f>
        <v/>
      </c>
      <c r="F29" s="12" t="str">
        <f>IF('AUDIT-Q'!$C26=0,"",COUNTIF('AUDIT-Q'!$C26:$J26,RESULTS!F$1))</f>
        <v/>
      </c>
      <c r="G29" s="12" t="str">
        <f>IF('AUDIT-Q'!$C26=0,"",COUNTIF('AUDIT-Q'!$C26:$J26,RESULTS!G$1))</f>
        <v/>
      </c>
      <c r="H29" s="12" t="str">
        <f>IF('AUDIT-Q'!$C26=0,"",COUNTIF('AUDIT-Q'!$C26:$J26,RESULTS!H$1))</f>
        <v/>
      </c>
    </row>
    <row r="30" spans="1:8" ht="45" hidden="1" customHeight="1" outlineLevel="1" x14ac:dyDescent="0.25">
      <c r="A30" s="6">
        <v>3.4</v>
      </c>
      <c r="B30" s="9" t="s">
        <v>26</v>
      </c>
      <c r="C30" s="12" t="str">
        <f>IF('AUDIT-Q'!$C27=0,"",COUNTIF('AUDIT-Q'!$C27:$J27,RESULTS!C$1))</f>
        <v/>
      </c>
      <c r="D30" s="12" t="str">
        <f>IF('AUDIT-Q'!$C27=0,"",COUNTIF('AUDIT-Q'!$C27:$J27,RESULTS!D$1))</f>
        <v/>
      </c>
      <c r="E30" s="12" t="str">
        <f>IF('AUDIT-Q'!$C27=0,"",COUNTIF('AUDIT-Q'!$C27:$J27,RESULTS!E$1))</f>
        <v/>
      </c>
      <c r="F30" s="12" t="str">
        <f>IF('AUDIT-Q'!$C27=0,"",COUNTIF('AUDIT-Q'!$C27:$J27,RESULTS!F$1))</f>
        <v/>
      </c>
      <c r="G30" s="12" t="str">
        <f>IF('AUDIT-Q'!$C27=0,"",COUNTIF('AUDIT-Q'!$C27:$J27,RESULTS!G$1))</f>
        <v/>
      </c>
      <c r="H30" s="12" t="str">
        <f>IF('AUDIT-Q'!$C27=0,"",COUNTIF('AUDIT-Q'!$C27:$J27,RESULTS!H$1))</f>
        <v/>
      </c>
    </row>
    <row r="31" spans="1:8" ht="30" hidden="1" customHeight="1" outlineLevel="1" x14ac:dyDescent="0.25">
      <c r="A31" s="6">
        <v>3.5</v>
      </c>
      <c r="B31" s="9" t="s">
        <v>27</v>
      </c>
      <c r="C31" s="12" t="str">
        <f>IF('AUDIT-Q'!$C28=0,"",COUNTIF('AUDIT-Q'!$C28:$J28,RESULTS!C$1))</f>
        <v/>
      </c>
      <c r="D31" s="12" t="str">
        <f>IF('AUDIT-Q'!$C28=0,"",COUNTIF('AUDIT-Q'!$C28:$J28,RESULTS!D$1))</f>
        <v/>
      </c>
      <c r="E31" s="12" t="str">
        <f>IF('AUDIT-Q'!$C28=0,"",COUNTIF('AUDIT-Q'!$C28:$J28,RESULTS!E$1))</f>
        <v/>
      </c>
      <c r="F31" s="12" t="str">
        <f>IF('AUDIT-Q'!$C28=0,"",COUNTIF('AUDIT-Q'!$C28:$J28,RESULTS!F$1))</f>
        <v/>
      </c>
      <c r="G31" s="12" t="str">
        <f>IF('AUDIT-Q'!$C28=0,"",COUNTIF('AUDIT-Q'!$C28:$J28,RESULTS!G$1))</f>
        <v/>
      </c>
      <c r="H31" s="12" t="str">
        <f>IF('AUDIT-Q'!$C28=0,"",COUNTIF('AUDIT-Q'!$C28:$J28,RESULTS!H$1))</f>
        <v/>
      </c>
    </row>
    <row r="32" spans="1:8" ht="45" hidden="1" customHeight="1" outlineLevel="1" x14ac:dyDescent="0.25">
      <c r="A32" s="6">
        <v>3.6</v>
      </c>
      <c r="B32" s="9" t="s">
        <v>28</v>
      </c>
      <c r="C32" s="12" t="str">
        <f>IF('AUDIT-Q'!$C29=0,"",COUNTIF('AUDIT-Q'!$C29:$J29,RESULTS!C$1))</f>
        <v/>
      </c>
      <c r="D32" s="12" t="str">
        <f>IF('AUDIT-Q'!$C29=0,"",COUNTIF('AUDIT-Q'!$C29:$J29,RESULTS!D$1))</f>
        <v/>
      </c>
      <c r="E32" s="12" t="str">
        <f>IF('AUDIT-Q'!$C29=0,"",COUNTIF('AUDIT-Q'!$C29:$J29,RESULTS!E$1))</f>
        <v/>
      </c>
      <c r="F32" s="12" t="str">
        <f>IF('AUDIT-Q'!$C29=0,"",COUNTIF('AUDIT-Q'!$C29:$J29,RESULTS!F$1))</f>
        <v/>
      </c>
      <c r="G32" s="12" t="str">
        <f>IF('AUDIT-Q'!$C29=0,"",COUNTIF('AUDIT-Q'!$C29:$J29,RESULTS!G$1))</f>
        <v/>
      </c>
      <c r="H32" s="12" t="str">
        <f>IF('AUDIT-Q'!$C29=0,"",COUNTIF('AUDIT-Q'!$C29:$J29,RESULTS!H$1))</f>
        <v/>
      </c>
    </row>
    <row r="33" spans="1:8" ht="30" hidden="1" customHeight="1" outlineLevel="1" x14ac:dyDescent="0.25">
      <c r="A33" s="6">
        <v>3.7</v>
      </c>
      <c r="B33" s="9" t="s">
        <v>29</v>
      </c>
      <c r="C33" s="12" t="str">
        <f>IF('AUDIT-Q'!$C30=0,"",COUNTIF('AUDIT-Q'!$C30:$J30,RESULTS!C$1))</f>
        <v/>
      </c>
      <c r="D33" s="12" t="str">
        <f>IF('AUDIT-Q'!$C30=0,"",COUNTIF('AUDIT-Q'!$C30:$J30,RESULTS!D$1))</f>
        <v/>
      </c>
      <c r="E33" s="12" t="str">
        <f>IF('AUDIT-Q'!$C30=0,"",COUNTIF('AUDIT-Q'!$C30:$J30,RESULTS!E$1))</f>
        <v/>
      </c>
      <c r="F33" s="12" t="str">
        <f>IF('AUDIT-Q'!$C30=0,"",COUNTIF('AUDIT-Q'!$C30:$J30,RESULTS!F$1))</f>
        <v/>
      </c>
      <c r="G33" s="12" t="str">
        <f>IF('AUDIT-Q'!$C30=0,"",COUNTIF('AUDIT-Q'!$C30:$J30,RESULTS!G$1))</f>
        <v/>
      </c>
      <c r="H33" s="12" t="str">
        <f>IF('AUDIT-Q'!$C30=0,"",COUNTIF('AUDIT-Q'!$C30:$J30,RESULTS!H$1))</f>
        <v/>
      </c>
    </row>
    <row r="34" spans="1:8" ht="18.75" collapsed="1" x14ac:dyDescent="0.25">
      <c r="A34" s="6">
        <v>4</v>
      </c>
      <c r="B34" s="8" t="s">
        <v>30</v>
      </c>
      <c r="C34" s="11">
        <f t="shared" ref="C34:H34" si="3">SUM(C35:C38)</f>
        <v>0</v>
      </c>
      <c r="D34" s="11">
        <f t="shared" si="3"/>
        <v>0</v>
      </c>
      <c r="E34" s="11">
        <f t="shared" si="3"/>
        <v>0</v>
      </c>
      <c r="F34" s="11">
        <f t="shared" si="3"/>
        <v>0</v>
      </c>
      <c r="G34" s="11">
        <f t="shared" si="3"/>
        <v>0</v>
      </c>
      <c r="H34" s="11">
        <f t="shared" si="3"/>
        <v>0</v>
      </c>
    </row>
    <row r="35" spans="1:8" ht="15" hidden="1" customHeight="1" outlineLevel="1" x14ac:dyDescent="0.25">
      <c r="A35" s="6">
        <v>4.0999999999999996</v>
      </c>
      <c r="B35" s="9" t="s">
        <v>31</v>
      </c>
      <c r="C35" s="12" t="str">
        <f>IF('AUDIT-Q'!$C32=0,"",COUNTIF('AUDIT-Q'!$C32:$J32,RESULTS!C$1))</f>
        <v/>
      </c>
      <c r="D35" s="12" t="str">
        <f>IF('AUDIT-Q'!$C32=0,"",COUNTIF('AUDIT-Q'!$C32:$J32,RESULTS!D$1))</f>
        <v/>
      </c>
      <c r="E35" s="12" t="str">
        <f>IF('AUDIT-Q'!$C32=0,"",COUNTIF('AUDIT-Q'!$C32:$J32,RESULTS!E$1))</f>
        <v/>
      </c>
      <c r="F35" s="12" t="str">
        <f>IF('AUDIT-Q'!$C32=0,"",COUNTIF('AUDIT-Q'!$C32:$J32,RESULTS!F$1))</f>
        <v/>
      </c>
      <c r="G35" s="12" t="str">
        <f>IF('AUDIT-Q'!$C32=0,"",COUNTIF('AUDIT-Q'!$C32:$J32,RESULTS!G$1))</f>
        <v/>
      </c>
      <c r="H35" s="12" t="str">
        <f>IF('AUDIT-Q'!$C32=0,"",COUNTIF('AUDIT-Q'!$C32:$J32,RESULTS!H$1))</f>
        <v/>
      </c>
    </row>
    <row r="36" spans="1:8" ht="30" hidden="1" customHeight="1" outlineLevel="1" x14ac:dyDescent="0.25">
      <c r="A36" s="6">
        <v>4.2</v>
      </c>
      <c r="B36" s="9" t="s">
        <v>32</v>
      </c>
      <c r="C36" s="12" t="str">
        <f>IF('AUDIT-Q'!$C33=0,"",COUNTIF('AUDIT-Q'!$C33:$J33,RESULTS!C$1))</f>
        <v/>
      </c>
      <c r="D36" s="12" t="str">
        <f>IF('AUDIT-Q'!$C33=0,"",COUNTIF('AUDIT-Q'!$C33:$J33,RESULTS!D$1))</f>
        <v/>
      </c>
      <c r="E36" s="12" t="str">
        <f>IF('AUDIT-Q'!$C33=0,"",COUNTIF('AUDIT-Q'!$C33:$J33,RESULTS!E$1))</f>
        <v/>
      </c>
      <c r="F36" s="12" t="str">
        <f>IF('AUDIT-Q'!$C33=0,"",COUNTIF('AUDIT-Q'!$C33:$J33,RESULTS!F$1))</f>
        <v/>
      </c>
      <c r="G36" s="12" t="str">
        <f>IF('AUDIT-Q'!$C33=0,"",COUNTIF('AUDIT-Q'!$C33:$J33,RESULTS!G$1))</f>
        <v/>
      </c>
      <c r="H36" s="12" t="str">
        <f>IF('AUDIT-Q'!$C33=0,"",COUNTIF('AUDIT-Q'!$C33:$J33,RESULTS!H$1))</f>
        <v/>
      </c>
    </row>
    <row r="37" spans="1:8" ht="30" hidden="1" customHeight="1" outlineLevel="1" x14ac:dyDescent="0.25">
      <c r="A37" s="6">
        <v>4.3</v>
      </c>
      <c r="B37" s="9" t="s">
        <v>33</v>
      </c>
      <c r="C37" s="12" t="str">
        <f>IF('AUDIT-Q'!$C34=0,"",COUNTIF('AUDIT-Q'!$C34:$J34,RESULTS!C$1))</f>
        <v/>
      </c>
      <c r="D37" s="12" t="str">
        <f>IF('AUDIT-Q'!$C34=0,"",COUNTIF('AUDIT-Q'!$C34:$J34,RESULTS!D$1))</f>
        <v/>
      </c>
      <c r="E37" s="12" t="str">
        <f>IF('AUDIT-Q'!$C34=0,"",COUNTIF('AUDIT-Q'!$C34:$J34,RESULTS!E$1))</f>
        <v/>
      </c>
      <c r="F37" s="12" t="str">
        <f>IF('AUDIT-Q'!$C34=0,"",COUNTIF('AUDIT-Q'!$C34:$J34,RESULTS!F$1))</f>
        <v/>
      </c>
      <c r="G37" s="12" t="str">
        <f>IF('AUDIT-Q'!$C34=0,"",COUNTIF('AUDIT-Q'!$C34:$J34,RESULTS!G$1))</f>
        <v/>
      </c>
      <c r="H37" s="12" t="str">
        <f>IF('AUDIT-Q'!$C34=0,"",COUNTIF('AUDIT-Q'!$C34:$J34,RESULTS!H$1))</f>
        <v/>
      </c>
    </row>
    <row r="38" spans="1:8" ht="45" hidden="1" customHeight="1" outlineLevel="1" x14ac:dyDescent="0.25">
      <c r="A38" s="6">
        <v>4.4000000000000004</v>
      </c>
      <c r="B38" s="9" t="s">
        <v>34</v>
      </c>
      <c r="C38" s="12" t="str">
        <f>IF('AUDIT-Q'!$C35=0,"",COUNTIF('AUDIT-Q'!$C35:$J35,RESULTS!C$1))</f>
        <v/>
      </c>
      <c r="D38" s="12" t="str">
        <f>IF('AUDIT-Q'!$C35=0,"",COUNTIF('AUDIT-Q'!$C35:$J35,RESULTS!D$1))</f>
        <v/>
      </c>
      <c r="E38" s="12" t="str">
        <f>IF('AUDIT-Q'!$C35=0,"",COUNTIF('AUDIT-Q'!$C35:$J35,RESULTS!E$1))</f>
        <v/>
      </c>
      <c r="F38" s="12" t="str">
        <f>IF('AUDIT-Q'!$C35=0,"",COUNTIF('AUDIT-Q'!$C35:$J35,RESULTS!F$1))</f>
        <v/>
      </c>
      <c r="G38" s="12" t="str">
        <f>IF('AUDIT-Q'!$C35=0,"",COUNTIF('AUDIT-Q'!$C35:$J35,RESULTS!G$1))</f>
        <v/>
      </c>
      <c r="H38" s="12" t="str">
        <f>IF('AUDIT-Q'!$C35=0,"",COUNTIF('AUDIT-Q'!$C35:$J35,RESULTS!H$1))</f>
        <v/>
      </c>
    </row>
    <row r="39" spans="1:8" ht="18.75" collapsed="1" x14ac:dyDescent="0.25">
      <c r="A39" s="6">
        <v>5</v>
      </c>
      <c r="B39" s="8" t="s">
        <v>35</v>
      </c>
      <c r="C39" s="11">
        <f t="shared" ref="C39:H39" si="4">SUM(C40:C46)</f>
        <v>0</v>
      </c>
      <c r="D39" s="11">
        <f t="shared" si="4"/>
        <v>0</v>
      </c>
      <c r="E39" s="11">
        <f t="shared" si="4"/>
        <v>0</v>
      </c>
      <c r="F39" s="11">
        <f t="shared" si="4"/>
        <v>0</v>
      </c>
      <c r="G39" s="11">
        <f t="shared" si="4"/>
        <v>0</v>
      </c>
      <c r="H39" s="11">
        <f t="shared" si="4"/>
        <v>0</v>
      </c>
    </row>
    <row r="40" spans="1:8" ht="15" hidden="1" customHeight="1" outlineLevel="1" x14ac:dyDescent="0.25">
      <c r="A40" s="6"/>
      <c r="B40" s="9" t="s">
        <v>36</v>
      </c>
      <c r="C40" s="12" t="str">
        <f>IF('AUDIT-Q'!$C37=0,"",COUNTIF('AUDIT-Q'!$C37:$J37,RESULTS!C$1))</f>
        <v/>
      </c>
      <c r="D40" s="12" t="str">
        <f>IF('AUDIT-Q'!$C37=0,"",COUNTIF('AUDIT-Q'!$C37:$J37,RESULTS!D$1))</f>
        <v/>
      </c>
      <c r="E40" s="12" t="str">
        <f>IF('AUDIT-Q'!$C37=0,"",COUNTIF('AUDIT-Q'!$C37:$J37,RESULTS!E$1))</f>
        <v/>
      </c>
      <c r="F40" s="12" t="str">
        <f>IF('AUDIT-Q'!$C37=0,"",COUNTIF('AUDIT-Q'!$C37:$J37,RESULTS!F$1))</f>
        <v/>
      </c>
      <c r="G40" s="12" t="str">
        <f>IF('AUDIT-Q'!$C37=0,"",COUNTIF('AUDIT-Q'!$C37:$J37,RESULTS!G$1))</f>
        <v/>
      </c>
      <c r="H40" s="12" t="str">
        <f>IF('AUDIT-Q'!$C37=0,"",COUNTIF('AUDIT-Q'!$C37:$J37,RESULTS!H$1))</f>
        <v/>
      </c>
    </row>
    <row r="41" spans="1:8" ht="15" hidden="1" customHeight="1" outlineLevel="1" x14ac:dyDescent="0.25">
      <c r="A41" s="6">
        <v>5.0999999999999996</v>
      </c>
      <c r="B41" s="9" t="s">
        <v>37</v>
      </c>
      <c r="C41" s="12" t="str">
        <f>IF('AUDIT-Q'!$C38=0,"",COUNTIF('AUDIT-Q'!$C38:$J38,RESULTS!C$1))</f>
        <v/>
      </c>
      <c r="D41" s="12" t="str">
        <f>IF('AUDIT-Q'!$C38=0,"",COUNTIF('AUDIT-Q'!$C38:$J38,RESULTS!D$1))</f>
        <v/>
      </c>
      <c r="E41" s="12" t="str">
        <f>IF('AUDIT-Q'!$C38=0,"",COUNTIF('AUDIT-Q'!$C38:$J38,RESULTS!E$1))</f>
        <v/>
      </c>
      <c r="F41" s="12" t="str">
        <f>IF('AUDIT-Q'!$C38=0,"",COUNTIF('AUDIT-Q'!$C38:$J38,RESULTS!F$1))</f>
        <v/>
      </c>
      <c r="G41" s="12" t="str">
        <f>IF('AUDIT-Q'!$C38=0,"",COUNTIF('AUDIT-Q'!$C38:$J38,RESULTS!G$1))</f>
        <v/>
      </c>
      <c r="H41" s="12" t="str">
        <f>IF('AUDIT-Q'!$C38=0,"",COUNTIF('AUDIT-Q'!$C38:$J38,RESULTS!H$1))</f>
        <v/>
      </c>
    </row>
    <row r="42" spans="1:8" ht="15" hidden="1" customHeight="1" outlineLevel="1" x14ac:dyDescent="0.25">
      <c r="A42" s="6">
        <v>5.2</v>
      </c>
      <c r="B42" s="9" t="s">
        <v>38</v>
      </c>
      <c r="C42" s="12" t="str">
        <f>IF('AUDIT-Q'!$C39=0,"",COUNTIF('AUDIT-Q'!$C39:$J39,RESULTS!C$1))</f>
        <v/>
      </c>
      <c r="D42" s="12" t="str">
        <f>IF('AUDIT-Q'!$C39=0,"",COUNTIF('AUDIT-Q'!$C39:$J39,RESULTS!D$1))</f>
        <v/>
      </c>
      <c r="E42" s="12" t="str">
        <f>IF('AUDIT-Q'!$C39=0,"",COUNTIF('AUDIT-Q'!$C39:$J39,RESULTS!E$1))</f>
        <v/>
      </c>
      <c r="F42" s="12" t="str">
        <f>IF('AUDIT-Q'!$C39=0,"",COUNTIF('AUDIT-Q'!$C39:$J39,RESULTS!F$1))</f>
        <v/>
      </c>
      <c r="G42" s="12" t="str">
        <f>IF('AUDIT-Q'!$C39=0,"",COUNTIF('AUDIT-Q'!$C39:$J39,RESULTS!G$1))</f>
        <v/>
      </c>
      <c r="H42" s="12" t="str">
        <f>IF('AUDIT-Q'!$C39=0,"",COUNTIF('AUDIT-Q'!$C39:$J39,RESULTS!H$1))</f>
        <v/>
      </c>
    </row>
    <row r="43" spans="1:8" ht="15" hidden="1" customHeight="1" outlineLevel="1" x14ac:dyDescent="0.25">
      <c r="A43" s="6">
        <v>5.3</v>
      </c>
      <c r="B43" s="9" t="s">
        <v>39</v>
      </c>
      <c r="C43" s="12" t="str">
        <f>IF('AUDIT-Q'!$C40=0,"",COUNTIF('AUDIT-Q'!$C40:$J40,RESULTS!C$1))</f>
        <v/>
      </c>
      <c r="D43" s="12" t="str">
        <f>IF('AUDIT-Q'!$C40=0,"",COUNTIF('AUDIT-Q'!$C40:$J40,RESULTS!D$1))</f>
        <v/>
      </c>
      <c r="E43" s="12" t="str">
        <f>IF('AUDIT-Q'!$C40=0,"",COUNTIF('AUDIT-Q'!$C40:$J40,RESULTS!E$1))</f>
        <v/>
      </c>
      <c r="F43" s="12" t="str">
        <f>IF('AUDIT-Q'!$C40=0,"",COUNTIF('AUDIT-Q'!$C40:$J40,RESULTS!F$1))</f>
        <v/>
      </c>
      <c r="G43" s="12" t="str">
        <f>IF('AUDIT-Q'!$C40=0,"",COUNTIF('AUDIT-Q'!$C40:$J40,RESULTS!G$1))</f>
        <v/>
      </c>
      <c r="H43" s="12" t="str">
        <f>IF('AUDIT-Q'!$C40=0,"",COUNTIF('AUDIT-Q'!$C40:$J40,RESULTS!H$1))</f>
        <v/>
      </c>
    </row>
    <row r="44" spans="1:8" ht="15" hidden="1" customHeight="1" outlineLevel="1" x14ac:dyDescent="0.25">
      <c r="A44" s="6">
        <v>5.4</v>
      </c>
      <c r="B44" s="9" t="s">
        <v>40</v>
      </c>
      <c r="C44" s="12" t="str">
        <f>IF('AUDIT-Q'!$C41=0,"",COUNTIF('AUDIT-Q'!$C41:$J41,RESULTS!C$1))</f>
        <v/>
      </c>
      <c r="D44" s="12" t="str">
        <f>IF('AUDIT-Q'!$C41=0,"",COUNTIF('AUDIT-Q'!$C41:$J41,RESULTS!D$1))</f>
        <v/>
      </c>
      <c r="E44" s="12" t="str">
        <f>IF('AUDIT-Q'!$C41=0,"",COUNTIF('AUDIT-Q'!$C41:$J41,RESULTS!E$1))</f>
        <v/>
      </c>
      <c r="F44" s="12" t="str">
        <f>IF('AUDIT-Q'!$C41=0,"",COUNTIF('AUDIT-Q'!$C41:$J41,RESULTS!F$1))</f>
        <v/>
      </c>
      <c r="G44" s="12" t="str">
        <f>IF('AUDIT-Q'!$C41=0,"",COUNTIF('AUDIT-Q'!$C41:$J41,RESULTS!G$1))</f>
        <v/>
      </c>
      <c r="H44" s="12" t="str">
        <f>IF('AUDIT-Q'!$C41=0,"",COUNTIF('AUDIT-Q'!$C41:$J41,RESULTS!H$1))</f>
        <v/>
      </c>
    </row>
    <row r="45" spans="1:8" ht="30" hidden="1" customHeight="1" outlineLevel="1" x14ac:dyDescent="0.25">
      <c r="A45" s="6">
        <v>5.5</v>
      </c>
      <c r="B45" s="9" t="s">
        <v>41</v>
      </c>
      <c r="C45" s="12" t="str">
        <f>IF('AUDIT-Q'!$C42=0,"",COUNTIF('AUDIT-Q'!$C42:$J42,RESULTS!C$1))</f>
        <v/>
      </c>
      <c r="D45" s="12" t="str">
        <f>IF('AUDIT-Q'!$C42=0,"",COUNTIF('AUDIT-Q'!$C42:$J42,RESULTS!D$1))</f>
        <v/>
      </c>
      <c r="E45" s="12" t="str">
        <f>IF('AUDIT-Q'!$C42=0,"",COUNTIF('AUDIT-Q'!$C42:$J42,RESULTS!E$1))</f>
        <v/>
      </c>
      <c r="F45" s="12" t="str">
        <f>IF('AUDIT-Q'!$C42=0,"",COUNTIF('AUDIT-Q'!$C42:$J42,RESULTS!F$1))</f>
        <v/>
      </c>
      <c r="G45" s="12" t="str">
        <f>IF('AUDIT-Q'!$C42=0,"",COUNTIF('AUDIT-Q'!$C42:$J42,RESULTS!G$1))</f>
        <v/>
      </c>
      <c r="H45" s="12" t="str">
        <f>IF('AUDIT-Q'!$C42=0,"",COUNTIF('AUDIT-Q'!$C42:$J42,RESULTS!H$1))</f>
        <v/>
      </c>
    </row>
    <row r="46" spans="1:8" ht="45" hidden="1" customHeight="1" outlineLevel="1" x14ac:dyDescent="0.25">
      <c r="A46" s="6">
        <v>5.6</v>
      </c>
      <c r="B46" s="9" t="s">
        <v>122</v>
      </c>
      <c r="C46" s="12" t="str">
        <f>IF('AUDIT-Q'!$C43=0,"",COUNTIF('AUDIT-Q'!$C43:$J43,RESULTS!C$1))</f>
        <v/>
      </c>
      <c r="D46" s="12" t="str">
        <f>IF('AUDIT-Q'!$C43=0,"",COUNTIF('AUDIT-Q'!$C43:$J43,RESULTS!D$1))</f>
        <v/>
      </c>
      <c r="E46" s="12" t="str">
        <f>IF('AUDIT-Q'!$C43=0,"",COUNTIF('AUDIT-Q'!$C43:$J43,RESULTS!E$1))</f>
        <v/>
      </c>
      <c r="F46" s="12" t="str">
        <f>IF('AUDIT-Q'!$C43=0,"",COUNTIF('AUDIT-Q'!$C43:$J43,RESULTS!F$1))</f>
        <v/>
      </c>
      <c r="G46" s="12" t="str">
        <f>IF('AUDIT-Q'!$C43=0,"",COUNTIF('AUDIT-Q'!$C43:$J43,RESULTS!G$1))</f>
        <v/>
      </c>
      <c r="H46" s="12" t="str">
        <f>IF('AUDIT-Q'!$C43=0,"",COUNTIF('AUDIT-Q'!$C43:$J43,RESULTS!H$1))</f>
        <v/>
      </c>
    </row>
    <row r="47" spans="1:8" ht="18.75" collapsed="1" x14ac:dyDescent="0.25">
      <c r="A47" s="6">
        <v>6</v>
      </c>
      <c r="B47" s="8" t="s">
        <v>43</v>
      </c>
      <c r="C47" s="11">
        <f t="shared" ref="C47:H47" si="5">SUM(C48:C66)</f>
        <v>0</v>
      </c>
      <c r="D47" s="11">
        <f t="shared" si="5"/>
        <v>0</v>
      </c>
      <c r="E47" s="11">
        <f t="shared" si="5"/>
        <v>0</v>
      </c>
      <c r="F47" s="11">
        <f t="shared" si="5"/>
        <v>0</v>
      </c>
      <c r="G47" s="11">
        <f t="shared" si="5"/>
        <v>0</v>
      </c>
      <c r="H47" s="11">
        <f t="shared" si="5"/>
        <v>0</v>
      </c>
    </row>
    <row r="48" spans="1:8" ht="30" hidden="1" customHeight="1" outlineLevel="1" x14ac:dyDescent="0.25">
      <c r="A48" s="6">
        <v>6.1</v>
      </c>
      <c r="B48" s="9" t="s">
        <v>123</v>
      </c>
      <c r="C48" s="12" t="str">
        <f>IF('AUDIT-Q'!$C45=0,"",COUNTIF('AUDIT-Q'!$C45:$J45,RESULTS!C$1))</f>
        <v/>
      </c>
      <c r="D48" s="12" t="str">
        <f>IF('AUDIT-Q'!$C45=0,"",COUNTIF('AUDIT-Q'!$C45:$J45,RESULTS!D$1))</f>
        <v/>
      </c>
      <c r="E48" s="12" t="str">
        <f>IF('AUDIT-Q'!$C45=0,"",COUNTIF('AUDIT-Q'!$C45:$J45,RESULTS!E$1))</f>
        <v/>
      </c>
      <c r="F48" s="12" t="str">
        <f>IF('AUDIT-Q'!$C45=0,"",COUNTIF('AUDIT-Q'!$C45:$J45,RESULTS!F$1))</f>
        <v/>
      </c>
      <c r="G48" s="12" t="str">
        <f>IF('AUDIT-Q'!$C45=0,"",COUNTIF('AUDIT-Q'!$C45:$J45,RESULTS!G$1))</f>
        <v/>
      </c>
      <c r="H48" s="12" t="str">
        <f>IF('AUDIT-Q'!$C45=0,"",COUNTIF('AUDIT-Q'!$C45:$J45,RESULTS!H$1))</f>
        <v/>
      </c>
    </row>
    <row r="49" spans="1:8" ht="30" hidden="1" customHeight="1" outlineLevel="1" x14ac:dyDescent="0.25">
      <c r="A49" s="6">
        <v>6.2</v>
      </c>
      <c r="B49" s="9" t="s">
        <v>124</v>
      </c>
      <c r="C49" s="12" t="str">
        <f>IF('AUDIT-Q'!$C46=0,"",COUNTIF('AUDIT-Q'!$C46:$J46,RESULTS!C$1))</f>
        <v/>
      </c>
      <c r="D49" s="12" t="str">
        <f>IF('AUDIT-Q'!$C46=0,"",COUNTIF('AUDIT-Q'!$C46:$J46,RESULTS!D$1))</f>
        <v/>
      </c>
      <c r="E49" s="12" t="str">
        <f>IF('AUDIT-Q'!$C46=0,"",COUNTIF('AUDIT-Q'!$C46:$J46,RESULTS!E$1))</f>
        <v/>
      </c>
      <c r="F49" s="12" t="str">
        <f>IF('AUDIT-Q'!$C46=0,"",COUNTIF('AUDIT-Q'!$C46:$J46,RESULTS!F$1))</f>
        <v/>
      </c>
      <c r="G49" s="12" t="str">
        <f>IF('AUDIT-Q'!$C46=0,"",COUNTIF('AUDIT-Q'!$C46:$J46,RESULTS!G$1))</f>
        <v/>
      </c>
      <c r="H49" s="12" t="str">
        <f>IF('AUDIT-Q'!$C46=0,"",COUNTIF('AUDIT-Q'!$C46:$J46,RESULTS!H$1))</f>
        <v/>
      </c>
    </row>
    <row r="50" spans="1:8" ht="30" hidden="1" customHeight="1" outlineLevel="1" x14ac:dyDescent="0.25">
      <c r="A50" s="6">
        <v>6.3</v>
      </c>
      <c r="B50" s="9" t="s">
        <v>125</v>
      </c>
      <c r="C50" s="12" t="str">
        <f>IF('AUDIT-Q'!$C47=0,"",COUNTIF('AUDIT-Q'!$C47:$J47,RESULTS!C$1))</f>
        <v/>
      </c>
      <c r="D50" s="12" t="str">
        <f>IF('AUDIT-Q'!$C47=0,"",COUNTIF('AUDIT-Q'!$C47:$J47,RESULTS!D$1))</f>
        <v/>
      </c>
      <c r="E50" s="12" t="str">
        <f>IF('AUDIT-Q'!$C47=0,"",COUNTIF('AUDIT-Q'!$C47:$J47,RESULTS!E$1))</f>
        <v/>
      </c>
      <c r="F50" s="12" t="str">
        <f>IF('AUDIT-Q'!$C47=0,"",COUNTIF('AUDIT-Q'!$C47:$J47,RESULTS!F$1))</f>
        <v/>
      </c>
      <c r="G50" s="12" t="str">
        <f>IF('AUDIT-Q'!$C47=0,"",COUNTIF('AUDIT-Q'!$C47:$J47,RESULTS!G$1))</f>
        <v/>
      </c>
      <c r="H50" s="12" t="str">
        <f>IF('AUDIT-Q'!$C47=0,"",COUNTIF('AUDIT-Q'!$C47:$J47,RESULTS!H$1))</f>
        <v/>
      </c>
    </row>
    <row r="51" spans="1:8" ht="45" hidden="1" customHeight="1" outlineLevel="1" x14ac:dyDescent="0.25">
      <c r="A51" s="6">
        <v>6.4</v>
      </c>
      <c r="B51" s="9" t="s">
        <v>47</v>
      </c>
      <c r="C51" s="12" t="str">
        <f>IF('AUDIT-Q'!$C48=0,"",COUNTIF('AUDIT-Q'!$C48:$J48,RESULTS!C$1))</f>
        <v/>
      </c>
      <c r="D51" s="12" t="str">
        <f>IF('AUDIT-Q'!$C48=0,"",COUNTIF('AUDIT-Q'!$C48:$J48,RESULTS!D$1))</f>
        <v/>
      </c>
      <c r="E51" s="12" t="str">
        <f>IF('AUDIT-Q'!$C48=0,"",COUNTIF('AUDIT-Q'!$C48:$J48,RESULTS!E$1))</f>
        <v/>
      </c>
      <c r="F51" s="12" t="str">
        <f>IF('AUDIT-Q'!$C48=0,"",COUNTIF('AUDIT-Q'!$C48:$J48,RESULTS!F$1))</f>
        <v/>
      </c>
      <c r="G51" s="12" t="str">
        <f>IF('AUDIT-Q'!$C48=0,"",COUNTIF('AUDIT-Q'!$C48:$J48,RESULTS!G$1))</f>
        <v/>
      </c>
      <c r="H51" s="12" t="str">
        <f>IF('AUDIT-Q'!$C48=0,"",COUNTIF('AUDIT-Q'!$C48:$J48,RESULTS!H$1))</f>
        <v/>
      </c>
    </row>
    <row r="52" spans="1:8" ht="30" hidden="1" customHeight="1" outlineLevel="1" x14ac:dyDescent="0.25">
      <c r="A52" s="6">
        <v>6.5</v>
      </c>
      <c r="B52" s="9" t="s">
        <v>48</v>
      </c>
      <c r="C52" s="12" t="str">
        <f>IF('AUDIT-Q'!$C49=0,"",COUNTIF('AUDIT-Q'!$C49:$J49,RESULTS!C$1))</f>
        <v/>
      </c>
      <c r="D52" s="12" t="str">
        <f>IF('AUDIT-Q'!$C49=0,"",COUNTIF('AUDIT-Q'!$C49:$J49,RESULTS!D$1))</f>
        <v/>
      </c>
      <c r="E52" s="12" t="str">
        <f>IF('AUDIT-Q'!$C49=0,"",COUNTIF('AUDIT-Q'!$C49:$J49,RESULTS!E$1))</f>
        <v/>
      </c>
      <c r="F52" s="12" t="str">
        <f>IF('AUDIT-Q'!$C49=0,"",COUNTIF('AUDIT-Q'!$C49:$J49,RESULTS!F$1))</f>
        <v/>
      </c>
      <c r="G52" s="12" t="str">
        <f>IF('AUDIT-Q'!$C49=0,"",COUNTIF('AUDIT-Q'!$C49:$J49,RESULTS!G$1))</f>
        <v/>
      </c>
      <c r="H52" s="12" t="str">
        <f>IF('AUDIT-Q'!$C49=0,"",COUNTIF('AUDIT-Q'!$C49:$J49,RESULTS!H$1))</f>
        <v/>
      </c>
    </row>
    <row r="53" spans="1:8" ht="30" hidden="1" customHeight="1" outlineLevel="1" x14ac:dyDescent="0.25">
      <c r="A53" s="6">
        <v>6.6</v>
      </c>
      <c r="B53" s="9" t="s">
        <v>49</v>
      </c>
      <c r="C53" s="12" t="str">
        <f>IF('AUDIT-Q'!$C50=0,"",COUNTIF('AUDIT-Q'!$C50:$J50,RESULTS!C$1))</f>
        <v/>
      </c>
      <c r="D53" s="12" t="str">
        <f>IF('AUDIT-Q'!$C50=0,"",COUNTIF('AUDIT-Q'!$C50:$J50,RESULTS!D$1))</f>
        <v/>
      </c>
      <c r="E53" s="12" t="str">
        <f>IF('AUDIT-Q'!$C50=0,"",COUNTIF('AUDIT-Q'!$C50:$J50,RESULTS!E$1))</f>
        <v/>
      </c>
      <c r="F53" s="12" t="str">
        <f>IF('AUDIT-Q'!$C50=0,"",COUNTIF('AUDIT-Q'!$C50:$J50,RESULTS!F$1))</f>
        <v/>
      </c>
      <c r="G53" s="12" t="str">
        <f>IF('AUDIT-Q'!$C50=0,"",COUNTIF('AUDIT-Q'!$C50:$J50,RESULTS!G$1))</f>
        <v/>
      </c>
      <c r="H53" s="12" t="str">
        <f>IF('AUDIT-Q'!$C50=0,"",COUNTIF('AUDIT-Q'!$C50:$J50,RESULTS!H$1))</f>
        <v/>
      </c>
    </row>
    <row r="54" spans="1:8" ht="30" hidden="1" customHeight="1" outlineLevel="1" x14ac:dyDescent="0.25">
      <c r="A54" s="6">
        <v>6.7</v>
      </c>
      <c r="B54" s="9" t="s">
        <v>50</v>
      </c>
      <c r="C54" s="12" t="str">
        <f>IF('AUDIT-Q'!$C51=0,"",COUNTIF('AUDIT-Q'!$C51:$J51,RESULTS!C$1))</f>
        <v/>
      </c>
      <c r="D54" s="12" t="str">
        <f>IF('AUDIT-Q'!$C51=0,"",COUNTIF('AUDIT-Q'!$C51:$J51,RESULTS!D$1))</f>
        <v/>
      </c>
      <c r="E54" s="12" t="str">
        <f>IF('AUDIT-Q'!$C51=0,"",COUNTIF('AUDIT-Q'!$C51:$J51,RESULTS!E$1))</f>
        <v/>
      </c>
      <c r="F54" s="12" t="str">
        <f>IF('AUDIT-Q'!$C51=0,"",COUNTIF('AUDIT-Q'!$C51:$J51,RESULTS!F$1))</f>
        <v/>
      </c>
      <c r="G54" s="12" t="str">
        <f>IF('AUDIT-Q'!$C51=0,"",COUNTIF('AUDIT-Q'!$C51:$J51,RESULTS!G$1))</f>
        <v/>
      </c>
      <c r="H54" s="12" t="str">
        <f>IF('AUDIT-Q'!$C51=0,"",COUNTIF('AUDIT-Q'!$C51:$J51,RESULTS!H$1))</f>
        <v/>
      </c>
    </row>
    <row r="55" spans="1:8" ht="45" hidden="1" customHeight="1" outlineLevel="1" x14ac:dyDescent="0.25">
      <c r="A55" s="6">
        <v>6.8</v>
      </c>
      <c r="B55" s="9" t="s">
        <v>51</v>
      </c>
      <c r="C55" s="12" t="str">
        <f>IF('AUDIT-Q'!$C52=0,"",COUNTIF('AUDIT-Q'!$C52:$J52,RESULTS!C$1))</f>
        <v/>
      </c>
      <c r="D55" s="12" t="str">
        <f>IF('AUDIT-Q'!$C52=0,"",COUNTIF('AUDIT-Q'!$C52:$J52,RESULTS!D$1))</f>
        <v/>
      </c>
      <c r="E55" s="12" t="str">
        <f>IF('AUDIT-Q'!$C52=0,"",COUNTIF('AUDIT-Q'!$C52:$J52,RESULTS!E$1))</f>
        <v/>
      </c>
      <c r="F55" s="12" t="str">
        <f>IF('AUDIT-Q'!$C52=0,"",COUNTIF('AUDIT-Q'!$C52:$J52,RESULTS!F$1))</f>
        <v/>
      </c>
      <c r="G55" s="12" t="str">
        <f>IF('AUDIT-Q'!$C52=0,"",COUNTIF('AUDIT-Q'!$C52:$J52,RESULTS!G$1))</f>
        <v/>
      </c>
      <c r="H55" s="12" t="str">
        <f>IF('AUDIT-Q'!$C52=0,"",COUNTIF('AUDIT-Q'!$C52:$J52,RESULTS!H$1))</f>
        <v/>
      </c>
    </row>
    <row r="56" spans="1:8" ht="15" hidden="1" customHeight="1" outlineLevel="1" x14ac:dyDescent="0.25">
      <c r="A56" s="6">
        <v>6.9</v>
      </c>
      <c r="B56" s="9" t="s">
        <v>52</v>
      </c>
      <c r="C56" s="12" t="str">
        <f>IF('AUDIT-Q'!$C53=0,"",COUNTIF('AUDIT-Q'!$C53:$J53,RESULTS!C$1))</f>
        <v/>
      </c>
      <c r="D56" s="12" t="str">
        <f>IF('AUDIT-Q'!$C53=0,"",COUNTIF('AUDIT-Q'!$C53:$J53,RESULTS!D$1))</f>
        <v/>
      </c>
      <c r="E56" s="12" t="str">
        <f>IF('AUDIT-Q'!$C53=0,"",COUNTIF('AUDIT-Q'!$C53:$J53,RESULTS!E$1))</f>
        <v/>
      </c>
      <c r="F56" s="12" t="str">
        <f>IF('AUDIT-Q'!$C53=0,"",COUNTIF('AUDIT-Q'!$C53:$J53,RESULTS!F$1))</f>
        <v/>
      </c>
      <c r="G56" s="12" t="str">
        <f>IF('AUDIT-Q'!$C53=0,"",COUNTIF('AUDIT-Q'!$C53:$J53,RESULTS!G$1))</f>
        <v/>
      </c>
      <c r="H56" s="12" t="str">
        <f>IF('AUDIT-Q'!$C53=0,"",COUNTIF('AUDIT-Q'!$C53:$J53,RESULTS!H$1))</f>
        <v/>
      </c>
    </row>
    <row r="57" spans="1:8" ht="30" hidden="1" customHeight="1" outlineLevel="1" x14ac:dyDescent="0.25">
      <c r="A57" s="7">
        <v>6.1</v>
      </c>
      <c r="B57" s="9" t="s">
        <v>53</v>
      </c>
      <c r="C57" s="12" t="str">
        <f>IF('AUDIT-Q'!$C54=0,"",COUNTIF('AUDIT-Q'!$C54:$J54,RESULTS!C$1))</f>
        <v/>
      </c>
      <c r="D57" s="12" t="str">
        <f>IF('AUDIT-Q'!$C54=0,"",COUNTIF('AUDIT-Q'!$C54:$J54,RESULTS!D$1))</f>
        <v/>
      </c>
      <c r="E57" s="12" t="str">
        <f>IF('AUDIT-Q'!$C54=0,"",COUNTIF('AUDIT-Q'!$C54:$J54,RESULTS!E$1))</f>
        <v/>
      </c>
      <c r="F57" s="12" t="str">
        <f>IF('AUDIT-Q'!$C54=0,"",COUNTIF('AUDIT-Q'!$C54:$J54,RESULTS!F$1))</f>
        <v/>
      </c>
      <c r="G57" s="12" t="str">
        <f>IF('AUDIT-Q'!$C54=0,"",COUNTIF('AUDIT-Q'!$C54:$J54,RESULTS!G$1))</f>
        <v/>
      </c>
      <c r="H57" s="12" t="str">
        <f>IF('AUDIT-Q'!$C54=0,"",COUNTIF('AUDIT-Q'!$C54:$J54,RESULTS!H$1))</f>
        <v/>
      </c>
    </row>
    <row r="58" spans="1:8" ht="30" hidden="1" customHeight="1" outlineLevel="1" x14ac:dyDescent="0.25">
      <c r="A58" s="6">
        <v>6.11</v>
      </c>
      <c r="B58" s="9" t="s">
        <v>54</v>
      </c>
      <c r="C58" s="12" t="str">
        <f>IF('AUDIT-Q'!$C55=0,"",COUNTIF('AUDIT-Q'!$C55:$J55,RESULTS!C$1))</f>
        <v/>
      </c>
      <c r="D58" s="12" t="str">
        <f>IF('AUDIT-Q'!$C55=0,"",COUNTIF('AUDIT-Q'!$C55:$J55,RESULTS!D$1))</f>
        <v/>
      </c>
      <c r="E58" s="12" t="str">
        <f>IF('AUDIT-Q'!$C55=0,"",COUNTIF('AUDIT-Q'!$C55:$J55,RESULTS!E$1))</f>
        <v/>
      </c>
      <c r="F58" s="12" t="str">
        <f>IF('AUDIT-Q'!$C55=0,"",COUNTIF('AUDIT-Q'!$C55:$J55,RESULTS!F$1))</f>
        <v/>
      </c>
      <c r="G58" s="12" t="str">
        <f>IF('AUDIT-Q'!$C55=0,"",COUNTIF('AUDIT-Q'!$C55:$J55,RESULTS!G$1))</f>
        <v/>
      </c>
      <c r="H58" s="12" t="str">
        <f>IF('AUDIT-Q'!$C55=0,"",COUNTIF('AUDIT-Q'!$C55:$J55,RESULTS!H$1))</f>
        <v/>
      </c>
    </row>
    <row r="59" spans="1:8" ht="30" hidden="1" customHeight="1" outlineLevel="1" x14ac:dyDescent="0.25">
      <c r="A59" s="6">
        <v>6.12</v>
      </c>
      <c r="B59" s="9" t="s">
        <v>55</v>
      </c>
      <c r="C59" s="12" t="str">
        <f>IF('AUDIT-Q'!$C56=0,"",COUNTIF('AUDIT-Q'!$C56:$J56,RESULTS!C$1))</f>
        <v/>
      </c>
      <c r="D59" s="12" t="str">
        <f>IF('AUDIT-Q'!$C56=0,"",COUNTIF('AUDIT-Q'!$C56:$J56,RESULTS!D$1))</f>
        <v/>
      </c>
      <c r="E59" s="12" t="str">
        <f>IF('AUDIT-Q'!$C56=0,"",COUNTIF('AUDIT-Q'!$C56:$J56,RESULTS!E$1))</f>
        <v/>
      </c>
      <c r="F59" s="12" t="str">
        <f>IF('AUDIT-Q'!$C56=0,"",COUNTIF('AUDIT-Q'!$C56:$J56,RESULTS!F$1))</f>
        <v/>
      </c>
      <c r="G59" s="12" t="str">
        <f>IF('AUDIT-Q'!$C56=0,"",COUNTIF('AUDIT-Q'!$C56:$J56,RESULTS!G$1))</f>
        <v/>
      </c>
      <c r="H59" s="12" t="str">
        <f>IF('AUDIT-Q'!$C56=0,"",COUNTIF('AUDIT-Q'!$C56:$J56,RESULTS!H$1))</f>
        <v/>
      </c>
    </row>
    <row r="60" spans="1:8" ht="30" hidden="1" customHeight="1" outlineLevel="1" x14ac:dyDescent="0.25">
      <c r="A60" s="6">
        <v>6.13</v>
      </c>
      <c r="B60" s="9" t="s">
        <v>56</v>
      </c>
      <c r="C60" s="12" t="str">
        <f>IF('AUDIT-Q'!$C57=0,"",COUNTIF('AUDIT-Q'!$C57:$J57,RESULTS!C$1))</f>
        <v/>
      </c>
      <c r="D60" s="12" t="str">
        <f>IF('AUDIT-Q'!$C57=0,"",COUNTIF('AUDIT-Q'!$C57:$J57,RESULTS!D$1))</f>
        <v/>
      </c>
      <c r="E60" s="12" t="str">
        <f>IF('AUDIT-Q'!$C57=0,"",COUNTIF('AUDIT-Q'!$C57:$J57,RESULTS!E$1))</f>
        <v/>
      </c>
      <c r="F60" s="12" t="str">
        <f>IF('AUDIT-Q'!$C57=0,"",COUNTIF('AUDIT-Q'!$C57:$J57,RESULTS!F$1))</f>
        <v/>
      </c>
      <c r="G60" s="12" t="str">
        <f>IF('AUDIT-Q'!$C57=0,"",COUNTIF('AUDIT-Q'!$C57:$J57,RESULTS!G$1))</f>
        <v/>
      </c>
      <c r="H60" s="12" t="str">
        <f>IF('AUDIT-Q'!$C57=0,"",COUNTIF('AUDIT-Q'!$C57:$J57,RESULTS!H$1))</f>
        <v/>
      </c>
    </row>
    <row r="61" spans="1:8" ht="30" hidden="1" customHeight="1" outlineLevel="1" x14ac:dyDescent="0.25">
      <c r="A61" s="6">
        <v>6.14</v>
      </c>
      <c r="B61" s="9" t="s">
        <v>57</v>
      </c>
      <c r="C61" s="12" t="str">
        <f>IF('AUDIT-Q'!$C58=0,"",COUNTIF('AUDIT-Q'!$C58:$J58,RESULTS!C$1))</f>
        <v/>
      </c>
      <c r="D61" s="12" t="str">
        <f>IF('AUDIT-Q'!$C58=0,"",COUNTIF('AUDIT-Q'!$C58:$J58,RESULTS!D$1))</f>
        <v/>
      </c>
      <c r="E61" s="12" t="str">
        <f>IF('AUDIT-Q'!$C58=0,"",COUNTIF('AUDIT-Q'!$C58:$J58,RESULTS!E$1))</f>
        <v/>
      </c>
      <c r="F61" s="12" t="str">
        <f>IF('AUDIT-Q'!$C58=0,"",COUNTIF('AUDIT-Q'!$C58:$J58,RESULTS!F$1))</f>
        <v/>
      </c>
      <c r="G61" s="12" t="str">
        <f>IF('AUDIT-Q'!$C58=0,"",COUNTIF('AUDIT-Q'!$C58:$J58,RESULTS!G$1))</f>
        <v/>
      </c>
      <c r="H61" s="12" t="str">
        <f>IF('AUDIT-Q'!$C58=0,"",COUNTIF('AUDIT-Q'!$C58:$J58,RESULTS!H$1))</f>
        <v/>
      </c>
    </row>
    <row r="62" spans="1:8" ht="60" hidden="1" customHeight="1" outlineLevel="1" x14ac:dyDescent="0.25">
      <c r="A62" s="6">
        <v>6.15</v>
      </c>
      <c r="B62" s="9" t="s">
        <v>58</v>
      </c>
      <c r="C62" s="12" t="str">
        <f>IF('AUDIT-Q'!$C59=0,"",COUNTIF('AUDIT-Q'!$C59:$J59,RESULTS!C$1))</f>
        <v/>
      </c>
      <c r="D62" s="12" t="str">
        <f>IF('AUDIT-Q'!$C59=0,"",COUNTIF('AUDIT-Q'!$C59:$J59,RESULTS!D$1))</f>
        <v/>
      </c>
      <c r="E62" s="12" t="str">
        <f>IF('AUDIT-Q'!$C59=0,"",COUNTIF('AUDIT-Q'!$C59:$J59,RESULTS!E$1))</f>
        <v/>
      </c>
      <c r="F62" s="12" t="str">
        <f>IF('AUDIT-Q'!$C59=0,"",COUNTIF('AUDIT-Q'!$C59:$J59,RESULTS!F$1))</f>
        <v/>
      </c>
      <c r="G62" s="12" t="str">
        <f>IF('AUDIT-Q'!$C59=0,"",COUNTIF('AUDIT-Q'!$C59:$J59,RESULTS!G$1))</f>
        <v/>
      </c>
      <c r="H62" s="12" t="str">
        <f>IF('AUDIT-Q'!$C59=0,"",COUNTIF('AUDIT-Q'!$C59:$J59,RESULTS!H$1))</f>
        <v/>
      </c>
    </row>
    <row r="63" spans="1:8" ht="30" hidden="1" customHeight="1" outlineLevel="1" x14ac:dyDescent="0.25">
      <c r="A63" s="6">
        <v>6.16</v>
      </c>
      <c r="B63" s="9" t="s">
        <v>59</v>
      </c>
      <c r="C63" s="12" t="str">
        <f>IF('AUDIT-Q'!$C60=0,"",COUNTIF('AUDIT-Q'!$C60:$J60,RESULTS!C$1))</f>
        <v/>
      </c>
      <c r="D63" s="12" t="str">
        <f>IF('AUDIT-Q'!$C60=0,"",COUNTIF('AUDIT-Q'!$C60:$J60,RESULTS!D$1))</f>
        <v/>
      </c>
      <c r="E63" s="12" t="str">
        <f>IF('AUDIT-Q'!$C60=0,"",COUNTIF('AUDIT-Q'!$C60:$J60,RESULTS!E$1))</f>
        <v/>
      </c>
      <c r="F63" s="12" t="str">
        <f>IF('AUDIT-Q'!$C60=0,"",COUNTIF('AUDIT-Q'!$C60:$J60,RESULTS!F$1))</f>
        <v/>
      </c>
      <c r="G63" s="12" t="str">
        <f>IF('AUDIT-Q'!$C60=0,"",COUNTIF('AUDIT-Q'!$C60:$J60,RESULTS!G$1))</f>
        <v/>
      </c>
      <c r="H63" s="12" t="str">
        <f>IF('AUDIT-Q'!$C60=0,"",COUNTIF('AUDIT-Q'!$C60:$J60,RESULTS!H$1))</f>
        <v/>
      </c>
    </row>
    <row r="64" spans="1:8" ht="30" hidden="1" customHeight="1" outlineLevel="1" x14ac:dyDescent="0.25">
      <c r="A64" s="6">
        <v>6.17</v>
      </c>
      <c r="B64" s="9" t="s">
        <v>126</v>
      </c>
      <c r="C64" s="12" t="str">
        <f>IF('AUDIT-Q'!$C61=0,"",COUNTIF('AUDIT-Q'!$C61:$J61,RESULTS!C$1))</f>
        <v/>
      </c>
      <c r="D64" s="12" t="str">
        <f>IF('AUDIT-Q'!$C61=0,"",COUNTIF('AUDIT-Q'!$C61:$J61,RESULTS!D$1))</f>
        <v/>
      </c>
      <c r="E64" s="12" t="str">
        <f>IF('AUDIT-Q'!$C61=0,"",COUNTIF('AUDIT-Q'!$C61:$J61,RESULTS!E$1))</f>
        <v/>
      </c>
      <c r="F64" s="12" t="str">
        <f>IF('AUDIT-Q'!$C61=0,"",COUNTIF('AUDIT-Q'!$C61:$J61,RESULTS!F$1))</f>
        <v/>
      </c>
      <c r="G64" s="12" t="str">
        <f>IF('AUDIT-Q'!$C61=0,"",COUNTIF('AUDIT-Q'!$C61:$J61,RESULTS!G$1))</f>
        <v/>
      </c>
      <c r="H64" s="12" t="str">
        <f>IF('AUDIT-Q'!$C61=0,"",COUNTIF('AUDIT-Q'!$C61:$J61,RESULTS!H$1))</f>
        <v/>
      </c>
    </row>
    <row r="65" spans="1:8" ht="45" hidden="1" customHeight="1" outlineLevel="1" x14ac:dyDescent="0.25">
      <c r="A65" s="6">
        <v>6.18</v>
      </c>
      <c r="B65" s="9" t="s">
        <v>127</v>
      </c>
      <c r="C65" s="12" t="str">
        <f>IF('AUDIT-Q'!$C62=0,"",COUNTIF('AUDIT-Q'!$C62:$J62,RESULTS!C$1))</f>
        <v/>
      </c>
      <c r="D65" s="12" t="str">
        <f>IF('AUDIT-Q'!$C62=0,"",COUNTIF('AUDIT-Q'!$C62:$J62,RESULTS!D$1))</f>
        <v/>
      </c>
      <c r="E65" s="12" t="str">
        <f>IF('AUDIT-Q'!$C62=0,"",COUNTIF('AUDIT-Q'!$C62:$J62,RESULTS!E$1))</f>
        <v/>
      </c>
      <c r="F65" s="12" t="str">
        <f>IF('AUDIT-Q'!$C62=0,"",COUNTIF('AUDIT-Q'!$C62:$J62,RESULTS!F$1))</f>
        <v/>
      </c>
      <c r="G65" s="12" t="str">
        <f>IF('AUDIT-Q'!$C62=0,"",COUNTIF('AUDIT-Q'!$C62:$J62,RESULTS!G$1))</f>
        <v/>
      </c>
      <c r="H65" s="12" t="str">
        <f>IF('AUDIT-Q'!$C62=0,"",COUNTIF('AUDIT-Q'!$C62:$J62,RESULTS!H$1))</f>
        <v/>
      </c>
    </row>
    <row r="66" spans="1:8" ht="30" hidden="1" customHeight="1" outlineLevel="1" x14ac:dyDescent="0.25">
      <c r="A66" s="6">
        <v>6.19</v>
      </c>
      <c r="B66" s="9" t="s">
        <v>128</v>
      </c>
      <c r="C66" s="12" t="str">
        <f>IF('AUDIT-Q'!$C63=0,"",COUNTIF('AUDIT-Q'!$C63:$J63,RESULTS!C$1))</f>
        <v/>
      </c>
      <c r="D66" s="12" t="str">
        <f>IF('AUDIT-Q'!$C63=0,"",COUNTIF('AUDIT-Q'!$C63:$J63,RESULTS!D$1))</f>
        <v/>
      </c>
      <c r="E66" s="12" t="str">
        <f>IF('AUDIT-Q'!$C63=0,"",COUNTIF('AUDIT-Q'!$C63:$J63,RESULTS!E$1))</f>
        <v/>
      </c>
      <c r="F66" s="12" t="str">
        <f>IF('AUDIT-Q'!$C63=0,"",COUNTIF('AUDIT-Q'!$C63:$J63,RESULTS!F$1))</f>
        <v/>
      </c>
      <c r="G66" s="12" t="str">
        <f>IF('AUDIT-Q'!$C63=0,"",COUNTIF('AUDIT-Q'!$C63:$J63,RESULTS!G$1))</f>
        <v/>
      </c>
      <c r="H66" s="12" t="str">
        <f>IF('AUDIT-Q'!$C63=0,"",COUNTIF('AUDIT-Q'!$C63:$J63,RESULTS!H$1))</f>
        <v/>
      </c>
    </row>
    <row r="67" spans="1:8" ht="18.75" collapsed="1" x14ac:dyDescent="0.25">
      <c r="A67" s="6">
        <v>7</v>
      </c>
      <c r="B67" s="8" t="s">
        <v>63</v>
      </c>
      <c r="C67" s="11">
        <f t="shared" ref="C67:H67" si="6">SUM(C68:C91)</f>
        <v>0</v>
      </c>
      <c r="D67" s="11">
        <f t="shared" si="6"/>
        <v>0</v>
      </c>
      <c r="E67" s="11">
        <f t="shared" si="6"/>
        <v>0</v>
      </c>
      <c r="F67" s="11">
        <f t="shared" si="6"/>
        <v>0</v>
      </c>
      <c r="G67" s="11">
        <f t="shared" si="6"/>
        <v>0</v>
      </c>
      <c r="H67" s="11">
        <f t="shared" si="6"/>
        <v>0</v>
      </c>
    </row>
    <row r="68" spans="1:8" ht="15" hidden="1" customHeight="1" outlineLevel="1" x14ac:dyDescent="0.25">
      <c r="A68" s="6">
        <v>7.1</v>
      </c>
      <c r="B68" s="9" t="s">
        <v>129</v>
      </c>
      <c r="C68" s="12" t="str">
        <f>IF('AUDIT-Q'!$C65=0,"",COUNTIF('AUDIT-Q'!$C65:$J65,RESULTS!C$1))</f>
        <v/>
      </c>
      <c r="D68" s="12" t="str">
        <f>IF('AUDIT-Q'!$C65=0,"",COUNTIF('AUDIT-Q'!$C65:$J65,RESULTS!D$1))</f>
        <v/>
      </c>
      <c r="E68" s="12" t="str">
        <f>IF('AUDIT-Q'!$C65=0,"",COUNTIF('AUDIT-Q'!$C65:$J65,RESULTS!E$1))</f>
        <v/>
      </c>
      <c r="F68" s="12" t="str">
        <f>IF('AUDIT-Q'!$C65=0,"",COUNTIF('AUDIT-Q'!$C65:$J65,RESULTS!F$1))</f>
        <v/>
      </c>
      <c r="G68" s="12" t="str">
        <f>IF('AUDIT-Q'!$C65=0,"",COUNTIF('AUDIT-Q'!$C65:$J65,RESULTS!G$1))</f>
        <v/>
      </c>
      <c r="H68" s="12" t="str">
        <f>IF('AUDIT-Q'!$C65=0,"",COUNTIF('AUDIT-Q'!$C65:$J65,RESULTS!H$1))</f>
        <v/>
      </c>
    </row>
    <row r="69" spans="1:8" ht="45" hidden="1" customHeight="1" outlineLevel="1" x14ac:dyDescent="0.25">
      <c r="A69" s="6">
        <v>7.2</v>
      </c>
      <c r="B69" s="9" t="s">
        <v>65</v>
      </c>
      <c r="C69" s="12" t="str">
        <f>IF('AUDIT-Q'!$C66=0,"",COUNTIF('AUDIT-Q'!$C66:$J66,RESULTS!C$1))</f>
        <v/>
      </c>
      <c r="D69" s="12" t="str">
        <f>IF('AUDIT-Q'!$C66=0,"",COUNTIF('AUDIT-Q'!$C66:$J66,RESULTS!D$1))</f>
        <v/>
      </c>
      <c r="E69" s="12" t="str">
        <f>IF('AUDIT-Q'!$C66=0,"",COUNTIF('AUDIT-Q'!$C66:$J66,RESULTS!E$1))</f>
        <v/>
      </c>
      <c r="F69" s="12" t="str">
        <f>IF('AUDIT-Q'!$C66=0,"",COUNTIF('AUDIT-Q'!$C66:$J66,RESULTS!F$1))</f>
        <v/>
      </c>
      <c r="G69" s="12" t="str">
        <f>IF('AUDIT-Q'!$C66=0,"",COUNTIF('AUDIT-Q'!$C66:$J66,RESULTS!G$1))</f>
        <v/>
      </c>
      <c r="H69" s="12" t="str">
        <f>IF('AUDIT-Q'!$C66=0,"",COUNTIF('AUDIT-Q'!$C66:$J66,RESULTS!H$1))</f>
        <v/>
      </c>
    </row>
    <row r="70" spans="1:8" ht="75" hidden="1" customHeight="1" outlineLevel="1" x14ac:dyDescent="0.25">
      <c r="A70" s="6">
        <v>7.3</v>
      </c>
      <c r="B70" s="9" t="s">
        <v>66</v>
      </c>
      <c r="C70" s="12" t="str">
        <f>IF('AUDIT-Q'!$C67=0,"",COUNTIF('AUDIT-Q'!$C67:$J67,RESULTS!C$1))</f>
        <v/>
      </c>
      <c r="D70" s="12" t="str">
        <f>IF('AUDIT-Q'!$C67=0,"",COUNTIF('AUDIT-Q'!$C67:$J67,RESULTS!D$1))</f>
        <v/>
      </c>
      <c r="E70" s="12" t="str">
        <f>IF('AUDIT-Q'!$C67=0,"",COUNTIF('AUDIT-Q'!$C67:$J67,RESULTS!E$1))</f>
        <v/>
      </c>
      <c r="F70" s="12" t="str">
        <f>IF('AUDIT-Q'!$C67=0,"",COUNTIF('AUDIT-Q'!$C67:$J67,RESULTS!F$1))</f>
        <v/>
      </c>
      <c r="G70" s="12" t="str">
        <f>IF('AUDIT-Q'!$C67=0,"",COUNTIF('AUDIT-Q'!$C67:$J67,RESULTS!G$1))</f>
        <v/>
      </c>
      <c r="H70" s="12" t="str">
        <f>IF('AUDIT-Q'!$C67=0,"",COUNTIF('AUDIT-Q'!$C67:$J67,RESULTS!H$1))</f>
        <v/>
      </c>
    </row>
    <row r="71" spans="1:8" ht="30" hidden="1" customHeight="1" outlineLevel="1" x14ac:dyDescent="0.25">
      <c r="A71" s="6">
        <v>7.4</v>
      </c>
      <c r="B71" s="9" t="s">
        <v>67</v>
      </c>
      <c r="C71" s="12" t="str">
        <f>IF('AUDIT-Q'!$C68=0,"",COUNTIF('AUDIT-Q'!$C68:$J68,RESULTS!C$1))</f>
        <v/>
      </c>
      <c r="D71" s="12" t="str">
        <f>IF('AUDIT-Q'!$C68=0,"",COUNTIF('AUDIT-Q'!$C68:$J68,RESULTS!D$1))</f>
        <v/>
      </c>
      <c r="E71" s="12" t="str">
        <f>IF('AUDIT-Q'!$C68=0,"",COUNTIF('AUDIT-Q'!$C68:$J68,RESULTS!E$1))</f>
        <v/>
      </c>
      <c r="F71" s="12" t="str">
        <f>IF('AUDIT-Q'!$C68=0,"",COUNTIF('AUDIT-Q'!$C68:$J68,RESULTS!F$1))</f>
        <v/>
      </c>
      <c r="G71" s="12" t="str">
        <f>IF('AUDIT-Q'!$C68=0,"",COUNTIF('AUDIT-Q'!$C68:$J68,RESULTS!G$1))</f>
        <v/>
      </c>
      <c r="H71" s="12" t="str">
        <f>IF('AUDIT-Q'!$C68=0,"",COUNTIF('AUDIT-Q'!$C68:$J68,RESULTS!H$1))</f>
        <v/>
      </c>
    </row>
    <row r="72" spans="1:8" ht="30" hidden="1" customHeight="1" outlineLevel="1" x14ac:dyDescent="0.25">
      <c r="A72" s="6">
        <v>7.5</v>
      </c>
      <c r="B72" s="9" t="s">
        <v>68</v>
      </c>
      <c r="C72" s="12" t="str">
        <f>IF('AUDIT-Q'!$C69=0,"",COUNTIF('AUDIT-Q'!$C69:$J69,RESULTS!C$1))</f>
        <v/>
      </c>
      <c r="D72" s="12" t="str">
        <f>IF('AUDIT-Q'!$C69=0,"",COUNTIF('AUDIT-Q'!$C69:$J69,RESULTS!D$1))</f>
        <v/>
      </c>
      <c r="E72" s="12" t="str">
        <f>IF('AUDIT-Q'!$C69=0,"",COUNTIF('AUDIT-Q'!$C69:$J69,RESULTS!E$1))</f>
        <v/>
      </c>
      <c r="F72" s="12" t="str">
        <f>IF('AUDIT-Q'!$C69=0,"",COUNTIF('AUDIT-Q'!$C69:$J69,RESULTS!F$1))</f>
        <v/>
      </c>
      <c r="G72" s="12" t="str">
        <f>IF('AUDIT-Q'!$C69=0,"",COUNTIF('AUDIT-Q'!$C69:$J69,RESULTS!G$1))</f>
        <v/>
      </c>
      <c r="H72" s="12" t="str">
        <f>IF('AUDIT-Q'!$C69=0,"",COUNTIF('AUDIT-Q'!$C69:$J69,RESULTS!H$1))</f>
        <v/>
      </c>
    </row>
    <row r="73" spans="1:8" ht="30" hidden="1" customHeight="1" outlineLevel="1" x14ac:dyDescent="0.25">
      <c r="A73" s="6">
        <v>7.6</v>
      </c>
      <c r="B73" s="9" t="s">
        <v>130</v>
      </c>
      <c r="C73" s="12" t="str">
        <f>IF('AUDIT-Q'!$C70=0,"",COUNTIF('AUDIT-Q'!$C70:$J70,RESULTS!C$1))</f>
        <v/>
      </c>
      <c r="D73" s="12" t="str">
        <f>IF('AUDIT-Q'!$C70=0,"",COUNTIF('AUDIT-Q'!$C70:$J70,RESULTS!D$1))</f>
        <v/>
      </c>
      <c r="E73" s="12" t="str">
        <f>IF('AUDIT-Q'!$C70=0,"",COUNTIF('AUDIT-Q'!$C70:$J70,RESULTS!E$1))</f>
        <v/>
      </c>
      <c r="F73" s="12" t="str">
        <f>IF('AUDIT-Q'!$C70=0,"",COUNTIF('AUDIT-Q'!$C70:$J70,RESULTS!F$1))</f>
        <v/>
      </c>
      <c r="G73" s="12" t="str">
        <f>IF('AUDIT-Q'!$C70=0,"",COUNTIF('AUDIT-Q'!$C70:$J70,RESULTS!G$1))</f>
        <v/>
      </c>
      <c r="H73" s="12" t="str">
        <f>IF('AUDIT-Q'!$C70=0,"",COUNTIF('AUDIT-Q'!$C70:$J70,RESULTS!H$1))</f>
        <v/>
      </c>
    </row>
    <row r="74" spans="1:8" ht="30" hidden="1" customHeight="1" outlineLevel="1" x14ac:dyDescent="0.25">
      <c r="A74" s="6">
        <v>7.7</v>
      </c>
      <c r="B74" s="9" t="s">
        <v>131</v>
      </c>
      <c r="C74" s="12" t="str">
        <f>IF('AUDIT-Q'!$C71=0,"",COUNTIF('AUDIT-Q'!$C71:$J71,RESULTS!C$1))</f>
        <v/>
      </c>
      <c r="D74" s="12" t="str">
        <f>IF('AUDIT-Q'!$C71=0,"",COUNTIF('AUDIT-Q'!$C71:$J71,RESULTS!D$1))</f>
        <v/>
      </c>
      <c r="E74" s="12" t="str">
        <f>IF('AUDIT-Q'!$C71=0,"",COUNTIF('AUDIT-Q'!$C71:$J71,RESULTS!E$1))</f>
        <v/>
      </c>
      <c r="F74" s="12" t="str">
        <f>IF('AUDIT-Q'!$C71=0,"",COUNTIF('AUDIT-Q'!$C71:$J71,RESULTS!F$1))</f>
        <v/>
      </c>
      <c r="G74" s="12" t="str">
        <f>IF('AUDIT-Q'!$C71=0,"",COUNTIF('AUDIT-Q'!$C71:$J71,RESULTS!G$1))</f>
        <v/>
      </c>
      <c r="H74" s="12" t="str">
        <f>IF('AUDIT-Q'!$C71=0,"",COUNTIF('AUDIT-Q'!$C71:$J71,RESULTS!H$1))</f>
        <v/>
      </c>
    </row>
    <row r="75" spans="1:8" ht="18.75" collapsed="1" x14ac:dyDescent="0.25">
      <c r="A75" s="6">
        <v>8</v>
      </c>
      <c r="B75" s="8" t="s">
        <v>71</v>
      </c>
      <c r="C75" s="11">
        <f t="shared" ref="C75:H75" si="7">SUM(C76:C82)</f>
        <v>0</v>
      </c>
      <c r="D75" s="11">
        <f t="shared" si="7"/>
        <v>0</v>
      </c>
      <c r="E75" s="11">
        <f t="shared" si="7"/>
        <v>0</v>
      </c>
      <c r="F75" s="11">
        <f t="shared" si="7"/>
        <v>0</v>
      </c>
      <c r="G75" s="11">
        <f t="shared" si="7"/>
        <v>0</v>
      </c>
      <c r="H75" s="11">
        <f t="shared" si="7"/>
        <v>0</v>
      </c>
    </row>
    <row r="76" spans="1:8" ht="46.5" hidden="1" customHeight="1" outlineLevel="1" x14ac:dyDescent="0.25">
      <c r="A76" s="6">
        <v>8.1</v>
      </c>
      <c r="B76" s="9" t="s">
        <v>72</v>
      </c>
      <c r="C76" s="12" t="str">
        <f>IF('AUDIT-Q'!$C73=0,"",COUNTIF('AUDIT-Q'!$C73:$J73,RESULTS!C$1))</f>
        <v/>
      </c>
      <c r="D76" s="12" t="str">
        <f>IF('AUDIT-Q'!$C73=0,"",COUNTIF('AUDIT-Q'!$C73:$J73,RESULTS!D$1))</f>
        <v/>
      </c>
      <c r="E76" s="12" t="str">
        <f>IF('AUDIT-Q'!$C73=0,"",COUNTIF('AUDIT-Q'!$C73:$J73,RESULTS!E$1))</f>
        <v/>
      </c>
      <c r="F76" s="12" t="str">
        <f>IF('AUDIT-Q'!$C73=0,"",COUNTIF('AUDIT-Q'!$C73:$J73,RESULTS!F$1))</f>
        <v/>
      </c>
      <c r="G76" s="12" t="str">
        <f>IF('AUDIT-Q'!$C73=0,"",COUNTIF('AUDIT-Q'!$C73:$J73,RESULTS!G$1))</f>
        <v/>
      </c>
      <c r="H76" s="12" t="str">
        <f>IF('AUDIT-Q'!$C73=0,"",COUNTIF('AUDIT-Q'!$C73:$J73,RESULTS!H$1))</f>
        <v/>
      </c>
    </row>
    <row r="77" spans="1:8" ht="30" hidden="1" customHeight="1" outlineLevel="1" x14ac:dyDescent="0.25">
      <c r="A77" s="6">
        <v>8.1999999999999993</v>
      </c>
      <c r="B77" s="9" t="s">
        <v>73</v>
      </c>
      <c r="C77" s="12" t="str">
        <f>IF('AUDIT-Q'!$C74=0,"",COUNTIF('AUDIT-Q'!$C74:$J74,RESULTS!C$1))</f>
        <v/>
      </c>
      <c r="D77" s="12" t="str">
        <f>IF('AUDIT-Q'!$C74=0,"",COUNTIF('AUDIT-Q'!$C74:$J74,RESULTS!D$1))</f>
        <v/>
      </c>
      <c r="E77" s="12" t="str">
        <f>IF('AUDIT-Q'!$C74=0,"",COUNTIF('AUDIT-Q'!$C74:$J74,RESULTS!E$1))</f>
        <v/>
      </c>
      <c r="F77" s="12" t="str">
        <f>IF('AUDIT-Q'!$C74=0,"",COUNTIF('AUDIT-Q'!$C74:$J74,RESULTS!F$1))</f>
        <v/>
      </c>
      <c r="G77" s="12" t="str">
        <f>IF('AUDIT-Q'!$C74=0,"",COUNTIF('AUDIT-Q'!$C74:$J74,RESULTS!G$1))</f>
        <v/>
      </c>
      <c r="H77" s="12" t="str">
        <f>IF('AUDIT-Q'!$C74=0,"",COUNTIF('AUDIT-Q'!$C74:$J74,RESULTS!H$1))</f>
        <v/>
      </c>
    </row>
    <row r="78" spans="1:8" ht="15" hidden="1" customHeight="1" outlineLevel="1" x14ac:dyDescent="0.25">
      <c r="A78" s="6">
        <v>8.3000000000000007</v>
      </c>
      <c r="B78" s="9" t="s">
        <v>74</v>
      </c>
      <c r="C78" s="12" t="str">
        <f>IF('AUDIT-Q'!$C75=0,"",COUNTIF('AUDIT-Q'!$C75:$J75,RESULTS!C$1))</f>
        <v/>
      </c>
      <c r="D78" s="12" t="str">
        <f>IF('AUDIT-Q'!$C75=0,"",COUNTIF('AUDIT-Q'!$C75:$J75,RESULTS!D$1))</f>
        <v/>
      </c>
      <c r="E78" s="12" t="str">
        <f>IF('AUDIT-Q'!$C75=0,"",COUNTIF('AUDIT-Q'!$C75:$J75,RESULTS!E$1))</f>
        <v/>
      </c>
      <c r="F78" s="12" t="str">
        <f>IF('AUDIT-Q'!$C75=0,"",COUNTIF('AUDIT-Q'!$C75:$J75,RESULTS!F$1))</f>
        <v/>
      </c>
      <c r="G78" s="12" t="str">
        <f>IF('AUDIT-Q'!$C75=0,"",COUNTIF('AUDIT-Q'!$C75:$J75,RESULTS!G$1))</f>
        <v/>
      </c>
      <c r="H78" s="12" t="str">
        <f>IF('AUDIT-Q'!$C75=0,"",COUNTIF('AUDIT-Q'!$C75:$J75,RESULTS!H$1))</f>
        <v/>
      </c>
    </row>
    <row r="79" spans="1:8" ht="30" hidden="1" customHeight="1" outlineLevel="1" x14ac:dyDescent="0.25">
      <c r="A79" s="6">
        <v>8.4</v>
      </c>
      <c r="B79" s="9" t="s">
        <v>75</v>
      </c>
      <c r="C79" s="12" t="str">
        <f>IF('AUDIT-Q'!$C76=0,"",COUNTIF('AUDIT-Q'!$C76:$J76,RESULTS!C$1))</f>
        <v/>
      </c>
      <c r="D79" s="12" t="str">
        <f>IF('AUDIT-Q'!$C76=0,"",COUNTIF('AUDIT-Q'!$C76:$J76,RESULTS!D$1))</f>
        <v/>
      </c>
      <c r="E79" s="12" t="str">
        <f>IF('AUDIT-Q'!$C76=0,"",COUNTIF('AUDIT-Q'!$C76:$J76,RESULTS!E$1))</f>
        <v/>
      </c>
      <c r="F79" s="12" t="str">
        <f>IF('AUDIT-Q'!$C76=0,"",COUNTIF('AUDIT-Q'!$C76:$J76,RESULTS!F$1))</f>
        <v/>
      </c>
      <c r="G79" s="12" t="str">
        <f>IF('AUDIT-Q'!$C76=0,"",COUNTIF('AUDIT-Q'!$C76:$J76,RESULTS!G$1))</f>
        <v/>
      </c>
      <c r="H79" s="12" t="str">
        <f>IF('AUDIT-Q'!$C76=0,"",COUNTIF('AUDIT-Q'!$C76:$J76,RESULTS!H$1))</f>
        <v/>
      </c>
    </row>
    <row r="80" spans="1:8" ht="30" hidden="1" customHeight="1" outlineLevel="1" x14ac:dyDescent="0.25">
      <c r="A80" s="6">
        <v>8.5</v>
      </c>
      <c r="B80" s="9" t="s">
        <v>76</v>
      </c>
      <c r="C80" s="12" t="str">
        <f>IF('AUDIT-Q'!$C77=0,"",COUNTIF('AUDIT-Q'!$C77:$J77,RESULTS!C$1))</f>
        <v/>
      </c>
      <c r="D80" s="12" t="str">
        <f>IF('AUDIT-Q'!$C77=0,"",COUNTIF('AUDIT-Q'!$C77:$J77,RESULTS!D$1))</f>
        <v/>
      </c>
      <c r="E80" s="12" t="str">
        <f>IF('AUDIT-Q'!$C77=0,"",COUNTIF('AUDIT-Q'!$C77:$J77,RESULTS!E$1))</f>
        <v/>
      </c>
      <c r="F80" s="12" t="str">
        <f>IF('AUDIT-Q'!$C77=0,"",COUNTIF('AUDIT-Q'!$C77:$J77,RESULTS!F$1))</f>
        <v/>
      </c>
      <c r="G80" s="12" t="str">
        <f>IF('AUDIT-Q'!$C77=0,"",COUNTIF('AUDIT-Q'!$C77:$J77,RESULTS!G$1))</f>
        <v/>
      </c>
      <c r="H80" s="12" t="str">
        <f>IF('AUDIT-Q'!$C77=0,"",COUNTIF('AUDIT-Q'!$C77:$J77,RESULTS!H$1))</f>
        <v/>
      </c>
    </row>
    <row r="81" spans="1:8" ht="30" hidden="1" customHeight="1" outlineLevel="1" x14ac:dyDescent="0.25">
      <c r="A81" s="6">
        <v>8.6</v>
      </c>
      <c r="B81" s="9" t="s">
        <v>77</v>
      </c>
      <c r="C81" s="12" t="str">
        <f>IF('AUDIT-Q'!$C78=0,"",COUNTIF('AUDIT-Q'!$C78:$J78,RESULTS!C$1))</f>
        <v/>
      </c>
      <c r="D81" s="12" t="str">
        <f>IF('AUDIT-Q'!$C78=0,"",COUNTIF('AUDIT-Q'!$C78:$J78,RESULTS!D$1))</f>
        <v/>
      </c>
      <c r="E81" s="12" t="str">
        <f>IF('AUDIT-Q'!$C78=0,"",COUNTIF('AUDIT-Q'!$C78:$J78,RESULTS!E$1))</f>
        <v/>
      </c>
      <c r="F81" s="12" t="str">
        <f>IF('AUDIT-Q'!$C78=0,"",COUNTIF('AUDIT-Q'!$C78:$J78,RESULTS!F$1))</f>
        <v/>
      </c>
      <c r="G81" s="12" t="str">
        <f>IF('AUDIT-Q'!$C78=0,"",COUNTIF('AUDIT-Q'!$C78:$J78,RESULTS!G$1))</f>
        <v/>
      </c>
      <c r="H81" s="12" t="str">
        <f>IF('AUDIT-Q'!$C78=0,"",COUNTIF('AUDIT-Q'!$C78:$J78,RESULTS!H$1))</f>
        <v/>
      </c>
    </row>
    <row r="82" spans="1:8" ht="30" hidden="1" customHeight="1" outlineLevel="1" x14ac:dyDescent="0.25">
      <c r="A82" s="6">
        <v>8.6999999999999993</v>
      </c>
      <c r="B82" s="9" t="s">
        <v>78</v>
      </c>
      <c r="C82" s="12" t="str">
        <f>IF('AUDIT-Q'!$C79=0,"",COUNTIF('AUDIT-Q'!$C79:$J79,RESULTS!C$1))</f>
        <v/>
      </c>
      <c r="D82" s="12" t="str">
        <f>IF('AUDIT-Q'!$C79=0,"",COUNTIF('AUDIT-Q'!$C79:$J79,RESULTS!D$1))</f>
        <v/>
      </c>
      <c r="E82" s="12" t="str">
        <f>IF('AUDIT-Q'!$C79=0,"",COUNTIF('AUDIT-Q'!$C79:$J79,RESULTS!E$1))</f>
        <v/>
      </c>
      <c r="F82" s="12" t="str">
        <f>IF('AUDIT-Q'!$C79=0,"",COUNTIF('AUDIT-Q'!$C79:$J79,RESULTS!F$1))</f>
        <v/>
      </c>
      <c r="G82" s="12" t="str">
        <f>IF('AUDIT-Q'!$C79=0,"",COUNTIF('AUDIT-Q'!$C79:$J79,RESULTS!G$1))</f>
        <v/>
      </c>
      <c r="H82" s="12" t="str">
        <f>IF('AUDIT-Q'!$C79=0,"",COUNTIF('AUDIT-Q'!$C79:$J79,RESULTS!H$1))</f>
        <v/>
      </c>
    </row>
    <row r="83" spans="1:8" ht="18.75" collapsed="1" x14ac:dyDescent="0.25">
      <c r="A83" s="6">
        <v>9</v>
      </c>
      <c r="B83" s="8" t="s">
        <v>79</v>
      </c>
      <c r="C83" s="11">
        <f t="shared" ref="C83:H83" si="8">SUM(C84:C91)</f>
        <v>0</v>
      </c>
      <c r="D83" s="11">
        <f t="shared" si="8"/>
        <v>0</v>
      </c>
      <c r="E83" s="11">
        <f t="shared" si="8"/>
        <v>0</v>
      </c>
      <c r="F83" s="11">
        <f t="shared" si="8"/>
        <v>0</v>
      </c>
      <c r="G83" s="11">
        <f t="shared" si="8"/>
        <v>0</v>
      </c>
      <c r="H83" s="11">
        <f t="shared" si="8"/>
        <v>0</v>
      </c>
    </row>
    <row r="84" spans="1:8" ht="45" hidden="1" customHeight="1" outlineLevel="1" x14ac:dyDescent="0.25">
      <c r="A84" s="6">
        <v>9.1</v>
      </c>
      <c r="B84" s="9" t="s">
        <v>132</v>
      </c>
      <c r="C84" s="12" t="str">
        <f>IF('AUDIT-Q'!$C81=0,"",COUNTIF('AUDIT-Q'!$C81:$J81,RESULTS!C$1))</f>
        <v/>
      </c>
      <c r="D84" s="12" t="str">
        <f>IF('AUDIT-Q'!$C81=0,"",COUNTIF('AUDIT-Q'!$C81:$J81,RESULTS!D$1))</f>
        <v/>
      </c>
      <c r="E84" s="12" t="str">
        <f>IF('AUDIT-Q'!$C81=0,"",COUNTIF('AUDIT-Q'!$C81:$J81,RESULTS!E$1))</f>
        <v/>
      </c>
      <c r="F84" s="12" t="str">
        <f>IF('AUDIT-Q'!$C81=0,"",COUNTIF('AUDIT-Q'!$C81:$J81,RESULTS!F$1))</f>
        <v/>
      </c>
      <c r="G84" s="12" t="str">
        <f>IF('AUDIT-Q'!$C81=0,"",COUNTIF('AUDIT-Q'!$C81:$J81,RESULTS!G$1))</f>
        <v/>
      </c>
      <c r="H84" s="12" t="str">
        <f>IF('AUDIT-Q'!$C81=0,"",COUNTIF('AUDIT-Q'!$C81:$J81,RESULTS!H$1))</f>
        <v/>
      </c>
    </row>
    <row r="85" spans="1:8" ht="15" hidden="1" customHeight="1" outlineLevel="1" x14ac:dyDescent="0.25">
      <c r="A85" s="6">
        <v>9.1999999999999993</v>
      </c>
      <c r="B85" s="9" t="s">
        <v>81</v>
      </c>
      <c r="C85" s="12" t="str">
        <f>IF('AUDIT-Q'!$C82=0,"",COUNTIF('AUDIT-Q'!$C82:$J82,RESULTS!C$1))</f>
        <v/>
      </c>
      <c r="D85" s="12" t="str">
        <f>IF('AUDIT-Q'!$C82=0,"",COUNTIF('AUDIT-Q'!$C82:$J82,RESULTS!D$1))</f>
        <v/>
      </c>
      <c r="E85" s="12" t="str">
        <f>IF('AUDIT-Q'!$C82=0,"",COUNTIF('AUDIT-Q'!$C82:$J82,RESULTS!E$1))</f>
        <v/>
      </c>
      <c r="F85" s="12" t="str">
        <f>IF('AUDIT-Q'!$C82=0,"",COUNTIF('AUDIT-Q'!$C82:$J82,RESULTS!F$1))</f>
        <v/>
      </c>
      <c r="G85" s="12" t="str">
        <f>IF('AUDIT-Q'!$C82=0,"",COUNTIF('AUDIT-Q'!$C82:$J82,RESULTS!G$1))</f>
        <v/>
      </c>
      <c r="H85" s="12" t="str">
        <f>IF('AUDIT-Q'!$C82=0,"",COUNTIF('AUDIT-Q'!$C82:$J82,RESULTS!H$1))</f>
        <v/>
      </c>
    </row>
    <row r="86" spans="1:8" ht="30" hidden="1" customHeight="1" outlineLevel="1" x14ac:dyDescent="0.25">
      <c r="A86" s="6">
        <v>9.3000000000000007</v>
      </c>
      <c r="B86" s="9" t="s">
        <v>133</v>
      </c>
      <c r="C86" s="12" t="str">
        <f>IF('AUDIT-Q'!$C83=0,"",COUNTIF('AUDIT-Q'!$C83:$J83,RESULTS!C$1))</f>
        <v/>
      </c>
      <c r="D86" s="12" t="str">
        <f>IF('AUDIT-Q'!$C83=0,"",COUNTIF('AUDIT-Q'!$C83:$J83,RESULTS!D$1))</f>
        <v/>
      </c>
      <c r="E86" s="12" t="str">
        <f>IF('AUDIT-Q'!$C83=0,"",COUNTIF('AUDIT-Q'!$C83:$J83,RESULTS!E$1))</f>
        <v/>
      </c>
      <c r="F86" s="12" t="str">
        <f>IF('AUDIT-Q'!$C83=0,"",COUNTIF('AUDIT-Q'!$C83:$J83,RESULTS!F$1))</f>
        <v/>
      </c>
      <c r="G86" s="12" t="str">
        <f>IF('AUDIT-Q'!$C83=0,"",COUNTIF('AUDIT-Q'!$C83:$J83,RESULTS!G$1))</f>
        <v/>
      </c>
      <c r="H86" s="12" t="str">
        <f>IF('AUDIT-Q'!$C83=0,"",COUNTIF('AUDIT-Q'!$C83:$J83,RESULTS!H$1))</f>
        <v/>
      </c>
    </row>
    <row r="87" spans="1:8" ht="15" hidden="1" customHeight="1" outlineLevel="1" x14ac:dyDescent="0.25">
      <c r="A87" s="6">
        <v>9.4</v>
      </c>
      <c r="B87" s="9" t="s">
        <v>83</v>
      </c>
      <c r="C87" s="12" t="str">
        <f>IF('AUDIT-Q'!$C84=0,"",COUNTIF('AUDIT-Q'!$C84:$J84,RESULTS!C$1))</f>
        <v/>
      </c>
      <c r="D87" s="12" t="str">
        <f>IF('AUDIT-Q'!$C84=0,"",COUNTIF('AUDIT-Q'!$C84:$J84,RESULTS!D$1))</f>
        <v/>
      </c>
      <c r="E87" s="12" t="str">
        <f>IF('AUDIT-Q'!$C84=0,"",COUNTIF('AUDIT-Q'!$C84:$J84,RESULTS!E$1))</f>
        <v/>
      </c>
      <c r="F87" s="12" t="str">
        <f>IF('AUDIT-Q'!$C84=0,"",COUNTIF('AUDIT-Q'!$C84:$J84,RESULTS!F$1))</f>
        <v/>
      </c>
      <c r="G87" s="12" t="str">
        <f>IF('AUDIT-Q'!$C84=0,"",COUNTIF('AUDIT-Q'!$C84:$J84,RESULTS!G$1))</f>
        <v/>
      </c>
      <c r="H87" s="12" t="str">
        <f>IF('AUDIT-Q'!$C84=0,"",COUNTIF('AUDIT-Q'!$C84:$J84,RESULTS!H$1))</f>
        <v/>
      </c>
    </row>
    <row r="88" spans="1:8" ht="45" hidden="1" customHeight="1" outlineLevel="1" x14ac:dyDescent="0.25">
      <c r="A88" s="6">
        <v>9.5</v>
      </c>
      <c r="B88" s="9" t="s">
        <v>84</v>
      </c>
      <c r="C88" s="12" t="str">
        <f>IF('AUDIT-Q'!$C85=0,"",COUNTIF('AUDIT-Q'!$C85:$J85,RESULTS!C$1))</f>
        <v/>
      </c>
      <c r="D88" s="12" t="str">
        <f>IF('AUDIT-Q'!$C85=0,"",COUNTIF('AUDIT-Q'!$C85:$J85,RESULTS!D$1))</f>
        <v/>
      </c>
      <c r="E88" s="12" t="str">
        <f>IF('AUDIT-Q'!$C85=0,"",COUNTIF('AUDIT-Q'!$C85:$J85,RESULTS!E$1))</f>
        <v/>
      </c>
      <c r="F88" s="12" t="str">
        <f>IF('AUDIT-Q'!$C85=0,"",COUNTIF('AUDIT-Q'!$C85:$J85,RESULTS!F$1))</f>
        <v/>
      </c>
      <c r="G88" s="12" t="str">
        <f>IF('AUDIT-Q'!$C85=0,"",COUNTIF('AUDIT-Q'!$C85:$J85,RESULTS!G$1))</f>
        <v/>
      </c>
      <c r="H88" s="12" t="str">
        <f>IF('AUDIT-Q'!$C85=0,"",COUNTIF('AUDIT-Q'!$C85:$J85,RESULTS!H$1))</f>
        <v/>
      </c>
    </row>
    <row r="89" spans="1:8" ht="15" hidden="1" customHeight="1" outlineLevel="1" x14ac:dyDescent="0.25">
      <c r="A89" s="6">
        <v>9.6</v>
      </c>
      <c r="B89" s="9" t="s">
        <v>85</v>
      </c>
      <c r="C89" s="12" t="str">
        <f>IF('AUDIT-Q'!$C86=0,"",COUNTIF('AUDIT-Q'!$C86:$J86,RESULTS!C$1))</f>
        <v/>
      </c>
      <c r="D89" s="12" t="str">
        <f>IF('AUDIT-Q'!$C86=0,"",COUNTIF('AUDIT-Q'!$C86:$J86,RESULTS!D$1))</f>
        <v/>
      </c>
      <c r="E89" s="12" t="str">
        <f>IF('AUDIT-Q'!$C86=0,"",COUNTIF('AUDIT-Q'!$C86:$J86,RESULTS!E$1))</f>
        <v/>
      </c>
      <c r="F89" s="12" t="str">
        <f>IF('AUDIT-Q'!$C86=0,"",COUNTIF('AUDIT-Q'!$C86:$J86,RESULTS!F$1))</f>
        <v/>
      </c>
      <c r="G89" s="12" t="str">
        <f>IF('AUDIT-Q'!$C86=0,"",COUNTIF('AUDIT-Q'!$C86:$J86,RESULTS!G$1))</f>
        <v/>
      </c>
      <c r="H89" s="12" t="str">
        <f>IF('AUDIT-Q'!$C86=0,"",COUNTIF('AUDIT-Q'!$C86:$J86,RESULTS!H$1))</f>
        <v/>
      </c>
    </row>
    <row r="90" spans="1:8" ht="45" hidden="1" customHeight="1" outlineLevel="1" x14ac:dyDescent="0.25">
      <c r="A90" s="6">
        <v>9.6999999999999993</v>
      </c>
      <c r="B90" s="9" t="s">
        <v>86</v>
      </c>
      <c r="C90" s="12" t="str">
        <f>IF('AUDIT-Q'!$C87=0,"",COUNTIF('AUDIT-Q'!$C87:$J87,RESULTS!C$1))</f>
        <v/>
      </c>
      <c r="D90" s="12" t="str">
        <f>IF('AUDIT-Q'!$C87=0,"",COUNTIF('AUDIT-Q'!$C87:$J87,RESULTS!D$1))</f>
        <v/>
      </c>
      <c r="E90" s="12" t="str">
        <f>IF('AUDIT-Q'!$C87=0,"",COUNTIF('AUDIT-Q'!$C87:$J87,RESULTS!E$1))</f>
        <v/>
      </c>
      <c r="F90" s="12" t="str">
        <f>IF('AUDIT-Q'!$C87=0,"",COUNTIF('AUDIT-Q'!$C87:$J87,RESULTS!F$1))</f>
        <v/>
      </c>
      <c r="G90" s="12" t="str">
        <f>IF('AUDIT-Q'!$C87=0,"",COUNTIF('AUDIT-Q'!$C87:$J87,RESULTS!G$1))</f>
        <v/>
      </c>
      <c r="H90" s="12" t="str">
        <f>IF('AUDIT-Q'!$C87=0,"",COUNTIF('AUDIT-Q'!$C87:$J87,RESULTS!H$1))</f>
        <v/>
      </c>
    </row>
    <row r="91" spans="1:8" ht="30" hidden="1" customHeight="1" outlineLevel="1" x14ac:dyDescent="0.25">
      <c r="A91" s="6">
        <v>9.8000000000000007</v>
      </c>
      <c r="B91" s="9" t="s">
        <v>87</v>
      </c>
      <c r="C91" s="12" t="str">
        <f>IF('AUDIT-Q'!$C88=0,"",COUNTIF('AUDIT-Q'!$C88:$J88,RESULTS!C$1))</f>
        <v/>
      </c>
      <c r="D91" s="12" t="str">
        <f>IF('AUDIT-Q'!$C88=0,"",COUNTIF('AUDIT-Q'!$C88:$J88,RESULTS!D$1))</f>
        <v/>
      </c>
      <c r="E91" s="12" t="str">
        <f>IF('AUDIT-Q'!$C88=0,"",COUNTIF('AUDIT-Q'!$C88:$J88,RESULTS!E$1))</f>
        <v/>
      </c>
      <c r="F91" s="12" t="str">
        <f>IF('AUDIT-Q'!$C88=0,"",COUNTIF('AUDIT-Q'!$C88:$J88,RESULTS!F$1))</f>
        <v/>
      </c>
      <c r="G91" s="12" t="str">
        <f>IF('AUDIT-Q'!$C88=0,"",COUNTIF('AUDIT-Q'!$C88:$J88,RESULTS!G$1))</f>
        <v/>
      </c>
      <c r="H91" s="12" t="str">
        <f>IF('AUDIT-Q'!$C88=0,"",COUNTIF('AUDIT-Q'!$C88:$J88,RESULTS!H$1))</f>
        <v/>
      </c>
    </row>
    <row r="92" spans="1:8" ht="18.75" collapsed="1" x14ac:dyDescent="0.25">
      <c r="A92" s="6">
        <v>10</v>
      </c>
      <c r="B92" s="8" t="s">
        <v>88</v>
      </c>
      <c r="C92" s="11" t="e">
        <f t="shared" ref="C92:H92" si="9">SUM(C93:C98)</f>
        <v>#REF!</v>
      </c>
      <c r="D92" s="11" t="e">
        <f t="shared" si="9"/>
        <v>#REF!</v>
      </c>
      <c r="E92" s="11" t="e">
        <f t="shared" si="9"/>
        <v>#REF!</v>
      </c>
      <c r="F92" s="11" t="e">
        <f t="shared" si="9"/>
        <v>#REF!</v>
      </c>
      <c r="G92" s="11" t="e">
        <f t="shared" si="9"/>
        <v>#REF!</v>
      </c>
      <c r="H92" s="11" t="e">
        <f t="shared" si="9"/>
        <v>#REF!</v>
      </c>
    </row>
    <row r="93" spans="1:8" ht="15" hidden="1" customHeight="1" outlineLevel="1" x14ac:dyDescent="0.25">
      <c r="A93" s="6">
        <v>10.1</v>
      </c>
      <c r="B93" s="9" t="s">
        <v>89</v>
      </c>
      <c r="C93" s="12" t="str">
        <f>IF('AUDIT-Q'!$C90=0,"",COUNTIF('AUDIT-Q'!$C90:$J90,RESULTS!C$1))</f>
        <v/>
      </c>
      <c r="D93" s="12" t="str">
        <f>IF('AUDIT-Q'!$C90=0,"",COUNTIF('AUDIT-Q'!$C90:$J90,RESULTS!D$1))</f>
        <v/>
      </c>
      <c r="E93" s="12" t="str">
        <f>IF('AUDIT-Q'!$C90=0,"",COUNTIF('AUDIT-Q'!$C90:$J90,RESULTS!E$1))</f>
        <v/>
      </c>
      <c r="F93" s="12" t="str">
        <f>IF('AUDIT-Q'!$C90=0,"",COUNTIF('AUDIT-Q'!$C90:$J90,RESULTS!F$1))</f>
        <v/>
      </c>
      <c r="G93" s="12" t="str">
        <f>IF('AUDIT-Q'!$C90=0,"",COUNTIF('AUDIT-Q'!$C90:$J90,RESULTS!G$1))</f>
        <v/>
      </c>
      <c r="H93" s="12" t="str">
        <f>IF('AUDIT-Q'!$C90=0,"",COUNTIF('AUDIT-Q'!$C90:$J90,RESULTS!H$1))</f>
        <v/>
      </c>
    </row>
    <row r="94" spans="1:8" ht="30" hidden="1" customHeight="1" outlineLevel="1" x14ac:dyDescent="0.25">
      <c r="A94" s="6">
        <v>10.199999999999999</v>
      </c>
      <c r="B94" s="9" t="s">
        <v>134</v>
      </c>
      <c r="C94" s="12" t="str">
        <f>IF('AUDIT-Q'!$C91=0,"",COUNTIF('AUDIT-Q'!$C91:$J91,RESULTS!C$1))</f>
        <v/>
      </c>
      <c r="D94" s="12" t="str">
        <f>IF('AUDIT-Q'!$C91=0,"",COUNTIF('AUDIT-Q'!$C91:$J91,RESULTS!D$1))</f>
        <v/>
      </c>
      <c r="E94" s="12" t="str">
        <f>IF('AUDIT-Q'!$C91=0,"",COUNTIF('AUDIT-Q'!$C91:$J91,RESULTS!E$1))</f>
        <v/>
      </c>
      <c r="F94" s="12" t="str">
        <f>IF('AUDIT-Q'!$C91=0,"",COUNTIF('AUDIT-Q'!$C91:$J91,RESULTS!F$1))</f>
        <v/>
      </c>
      <c r="G94" s="12" t="str">
        <f>IF('AUDIT-Q'!$C91=0,"",COUNTIF('AUDIT-Q'!$C91:$J91,RESULTS!G$1))</f>
        <v/>
      </c>
      <c r="H94" s="12" t="str">
        <f>IF('AUDIT-Q'!$C91=0,"",COUNTIF('AUDIT-Q'!$C91:$J91,RESULTS!H$1))</f>
        <v/>
      </c>
    </row>
    <row r="95" spans="1:8" ht="30" hidden="1" customHeight="1" outlineLevel="1" x14ac:dyDescent="0.25">
      <c r="A95" s="6">
        <v>10.3</v>
      </c>
      <c r="B95" s="9" t="s">
        <v>135</v>
      </c>
      <c r="C95" s="12" t="str">
        <f>IF('AUDIT-Q'!$C92=0,"",COUNTIF('AUDIT-Q'!$C92:$J92,RESULTS!C$1))</f>
        <v/>
      </c>
      <c r="D95" s="12" t="str">
        <f>IF('AUDIT-Q'!$C92=0,"",COUNTIF('AUDIT-Q'!$C92:$J92,RESULTS!D$1))</f>
        <v/>
      </c>
      <c r="E95" s="12" t="str">
        <f>IF('AUDIT-Q'!$C92=0,"",COUNTIF('AUDIT-Q'!$C92:$J92,RESULTS!E$1))</f>
        <v/>
      </c>
      <c r="F95" s="12" t="str">
        <f>IF('AUDIT-Q'!$C92=0,"",COUNTIF('AUDIT-Q'!$C92:$J92,RESULTS!F$1))</f>
        <v/>
      </c>
      <c r="G95" s="12" t="str">
        <f>IF('AUDIT-Q'!$C92=0,"",COUNTIF('AUDIT-Q'!$C92:$J92,RESULTS!G$1))</f>
        <v/>
      </c>
      <c r="H95" s="12" t="str">
        <f>IF('AUDIT-Q'!$C92=0,"",COUNTIF('AUDIT-Q'!$C92:$J92,RESULTS!H$1))</f>
        <v/>
      </c>
    </row>
    <row r="96" spans="1:8" ht="30" hidden="1" customHeight="1" outlineLevel="1" x14ac:dyDescent="0.25">
      <c r="A96" s="6">
        <v>10.4</v>
      </c>
      <c r="B96" s="9" t="s">
        <v>136</v>
      </c>
      <c r="C96" s="12" t="str">
        <f>IF('AUDIT-Q'!$C93=0,"",COUNTIF('AUDIT-Q'!$C93:$J93,RESULTS!C$1))</f>
        <v/>
      </c>
      <c r="D96" s="12" t="str">
        <f>IF('AUDIT-Q'!$C93=0,"",COUNTIF('AUDIT-Q'!$C93:$J93,RESULTS!D$1))</f>
        <v/>
      </c>
      <c r="E96" s="12" t="str">
        <f>IF('AUDIT-Q'!$C93=0,"",COUNTIF('AUDIT-Q'!$C93:$J93,RESULTS!E$1))</f>
        <v/>
      </c>
      <c r="F96" s="12" t="str">
        <f>IF('AUDIT-Q'!$C93=0,"",COUNTIF('AUDIT-Q'!$C93:$J93,RESULTS!F$1))</f>
        <v/>
      </c>
      <c r="G96" s="12" t="str">
        <f>IF('AUDIT-Q'!$C93=0,"",COUNTIF('AUDIT-Q'!$C93:$J93,RESULTS!G$1))</f>
        <v/>
      </c>
      <c r="H96" s="12" t="str">
        <f>IF('AUDIT-Q'!$C93=0,"",COUNTIF('AUDIT-Q'!$C93:$J93,RESULTS!H$1))</f>
        <v/>
      </c>
    </row>
    <row r="97" spans="1:8" ht="45" hidden="1" customHeight="1" outlineLevel="1" x14ac:dyDescent="0.25">
      <c r="A97" s="6">
        <v>10.5</v>
      </c>
      <c r="B97" s="9" t="s">
        <v>137</v>
      </c>
      <c r="C97" s="12" t="e">
        <f>IF('AUDIT-Q'!#REF!=0,"",COUNTIF('AUDIT-Q'!#REF!,RESULTS!C$1))</f>
        <v>#REF!</v>
      </c>
      <c r="D97" s="12" t="e">
        <f>IF('AUDIT-Q'!#REF!=0,"",COUNTIF('AUDIT-Q'!#REF!,RESULTS!D$1))</f>
        <v>#REF!</v>
      </c>
      <c r="E97" s="12" t="e">
        <f>IF('AUDIT-Q'!#REF!=0,"",COUNTIF('AUDIT-Q'!#REF!,RESULTS!E$1))</f>
        <v>#REF!</v>
      </c>
      <c r="F97" s="12" t="e">
        <f>IF('AUDIT-Q'!#REF!=0,"",COUNTIF('AUDIT-Q'!#REF!,RESULTS!F$1))</f>
        <v>#REF!</v>
      </c>
      <c r="G97" s="12" t="e">
        <f>IF('AUDIT-Q'!#REF!=0,"",COUNTIF('AUDIT-Q'!#REF!,RESULTS!G$1))</f>
        <v>#REF!</v>
      </c>
      <c r="H97" s="12" t="e">
        <f>IF('AUDIT-Q'!#REF!=0,"",COUNTIF('AUDIT-Q'!#REF!,RESULTS!H$1))</f>
        <v>#REF!</v>
      </c>
    </row>
    <row r="98" spans="1:8" ht="75" hidden="1" customHeight="1" outlineLevel="1" x14ac:dyDescent="0.25">
      <c r="A98" s="6">
        <v>10.6</v>
      </c>
      <c r="B98" s="9" t="s">
        <v>138</v>
      </c>
      <c r="C98" s="12" t="e">
        <f>IF('AUDIT-Q'!#REF!=0,"",COUNTIF('AUDIT-Q'!#REF!,RESULTS!C$1))</f>
        <v>#REF!</v>
      </c>
      <c r="D98" s="12" t="e">
        <f>IF('AUDIT-Q'!#REF!=0,"",COUNTIF('AUDIT-Q'!#REF!,RESULTS!D$1))</f>
        <v>#REF!</v>
      </c>
      <c r="E98" s="12" t="e">
        <f>IF('AUDIT-Q'!#REF!=0,"",COUNTIF('AUDIT-Q'!#REF!,RESULTS!E$1))</f>
        <v>#REF!</v>
      </c>
      <c r="F98" s="12" t="e">
        <f>IF('AUDIT-Q'!#REF!=0,"",COUNTIF('AUDIT-Q'!#REF!,RESULTS!F$1))</f>
        <v>#REF!</v>
      </c>
      <c r="G98" s="12" t="e">
        <f>IF('AUDIT-Q'!#REF!=0,"",COUNTIF('AUDIT-Q'!#REF!,RESULTS!G$1))</f>
        <v>#REF!</v>
      </c>
      <c r="H98" s="12" t="e">
        <f>IF('AUDIT-Q'!#REF!=0,"",COUNTIF('AUDIT-Q'!#REF!,RESULTS!H$1))</f>
        <v>#REF!</v>
      </c>
    </row>
    <row r="99" spans="1:8" ht="18.75" collapsed="1" x14ac:dyDescent="0.25">
      <c r="A99" s="6">
        <v>11</v>
      </c>
      <c r="B99" s="8" t="s">
        <v>93</v>
      </c>
      <c r="C99" s="11" t="e">
        <f t="shared" ref="C99:H99" si="10">SUM(C100:C107)</f>
        <v>#REF!</v>
      </c>
      <c r="D99" s="11" t="e">
        <f t="shared" si="10"/>
        <v>#REF!</v>
      </c>
      <c r="E99" s="11" t="e">
        <f t="shared" si="10"/>
        <v>#REF!</v>
      </c>
      <c r="F99" s="11" t="e">
        <f t="shared" si="10"/>
        <v>#REF!</v>
      </c>
      <c r="G99" s="11" t="e">
        <f t="shared" si="10"/>
        <v>#REF!</v>
      </c>
      <c r="H99" s="11" t="e">
        <f t="shared" si="10"/>
        <v>#REF!</v>
      </c>
    </row>
    <row r="100" spans="1:8" ht="45" hidden="1" customHeight="1" outlineLevel="1" x14ac:dyDescent="0.25">
      <c r="A100" s="6">
        <v>11.1</v>
      </c>
      <c r="B100" s="9" t="s">
        <v>94</v>
      </c>
      <c r="C100" s="12" t="str">
        <f>IF('AUDIT-Q'!$C95=0,"",COUNTIF('AUDIT-Q'!$C95:$J95,RESULTS!C$1))</f>
        <v/>
      </c>
      <c r="D100" s="12" t="str">
        <f>IF('AUDIT-Q'!$C95=0,"",COUNTIF('AUDIT-Q'!$C95:$J95,RESULTS!D$1))</f>
        <v/>
      </c>
      <c r="E100" s="12" t="str">
        <f>IF('AUDIT-Q'!$C95=0,"",COUNTIF('AUDIT-Q'!$C95:$J95,RESULTS!E$1))</f>
        <v/>
      </c>
      <c r="F100" s="12" t="str">
        <f>IF('AUDIT-Q'!$C95=0,"",COUNTIF('AUDIT-Q'!$C95:$J95,RESULTS!F$1))</f>
        <v/>
      </c>
      <c r="G100" s="12" t="str">
        <f>IF('AUDIT-Q'!$C95=0,"",COUNTIF('AUDIT-Q'!$C95:$J95,RESULTS!G$1))</f>
        <v/>
      </c>
      <c r="H100" s="12" t="str">
        <f>IF('AUDIT-Q'!$C95=0,"",COUNTIF('AUDIT-Q'!$C95:$J95,RESULTS!H$1))</f>
        <v/>
      </c>
    </row>
    <row r="101" spans="1:8" ht="45" hidden="1" customHeight="1" outlineLevel="1" x14ac:dyDescent="0.25">
      <c r="A101" s="6">
        <v>11.2</v>
      </c>
      <c r="B101" s="9" t="s">
        <v>95</v>
      </c>
      <c r="C101" s="12" t="str">
        <f>IF('AUDIT-Q'!$C96=0,"",COUNTIF('AUDIT-Q'!$C96:$J96,RESULTS!C$1))</f>
        <v/>
      </c>
      <c r="D101" s="12" t="str">
        <f>IF('AUDIT-Q'!$C96=0,"",COUNTIF('AUDIT-Q'!$C96:$J96,RESULTS!D$1))</f>
        <v/>
      </c>
      <c r="E101" s="12" t="str">
        <f>IF('AUDIT-Q'!$C96=0,"",COUNTIF('AUDIT-Q'!$C96:$J96,RESULTS!E$1))</f>
        <v/>
      </c>
      <c r="F101" s="12" t="str">
        <f>IF('AUDIT-Q'!$C96=0,"",COUNTIF('AUDIT-Q'!$C96:$J96,RESULTS!F$1))</f>
        <v/>
      </c>
      <c r="G101" s="12" t="str">
        <f>IF('AUDIT-Q'!$C96=0,"",COUNTIF('AUDIT-Q'!$C96:$J96,RESULTS!G$1))</f>
        <v/>
      </c>
      <c r="H101" s="12" t="str">
        <f>IF('AUDIT-Q'!$C96=0,"",COUNTIF('AUDIT-Q'!$C96:$J96,RESULTS!H$1))</f>
        <v/>
      </c>
    </row>
    <row r="102" spans="1:8" ht="30" hidden="1" customHeight="1" outlineLevel="1" x14ac:dyDescent="0.25">
      <c r="A102" s="6">
        <v>11.3</v>
      </c>
      <c r="B102" s="9" t="s">
        <v>139</v>
      </c>
      <c r="C102" s="12" t="str">
        <f>IF('AUDIT-Q'!$C97=0,"",COUNTIF('AUDIT-Q'!$C97:$J97,RESULTS!C$1))</f>
        <v/>
      </c>
      <c r="D102" s="12" t="str">
        <f>IF('AUDIT-Q'!$C97=0,"",COUNTIF('AUDIT-Q'!$C97:$J97,RESULTS!D$1))</f>
        <v/>
      </c>
      <c r="E102" s="12" t="str">
        <f>IF('AUDIT-Q'!$C97=0,"",COUNTIF('AUDIT-Q'!$C97:$J97,RESULTS!E$1))</f>
        <v/>
      </c>
      <c r="F102" s="12" t="str">
        <f>IF('AUDIT-Q'!$C97=0,"",COUNTIF('AUDIT-Q'!$C97:$J97,RESULTS!F$1))</f>
        <v/>
      </c>
      <c r="G102" s="12" t="str">
        <f>IF('AUDIT-Q'!$C97=0,"",COUNTIF('AUDIT-Q'!$C97:$J97,RESULTS!G$1))</f>
        <v/>
      </c>
      <c r="H102" s="12" t="str">
        <f>IF('AUDIT-Q'!$C97=0,"",COUNTIF('AUDIT-Q'!$C97:$J97,RESULTS!H$1))</f>
        <v/>
      </c>
    </row>
    <row r="103" spans="1:8" ht="30" hidden="1" customHeight="1" outlineLevel="1" x14ac:dyDescent="0.25">
      <c r="A103" s="6">
        <v>11.4</v>
      </c>
      <c r="B103" s="9" t="s">
        <v>140</v>
      </c>
      <c r="C103" s="12" t="str">
        <f>IF('AUDIT-Q'!$C98=0,"",COUNTIF('AUDIT-Q'!$C98:$J98,RESULTS!C$1))</f>
        <v/>
      </c>
      <c r="D103" s="12" t="str">
        <f>IF('AUDIT-Q'!$C98=0,"",COUNTIF('AUDIT-Q'!$C98:$J98,RESULTS!D$1))</f>
        <v/>
      </c>
      <c r="E103" s="12" t="str">
        <f>IF('AUDIT-Q'!$C98=0,"",COUNTIF('AUDIT-Q'!$C98:$J98,RESULTS!E$1))</f>
        <v/>
      </c>
      <c r="F103" s="12" t="str">
        <f>IF('AUDIT-Q'!$C98=0,"",COUNTIF('AUDIT-Q'!$C98:$J98,RESULTS!F$1))</f>
        <v/>
      </c>
      <c r="G103" s="12" t="str">
        <f>IF('AUDIT-Q'!$C98=0,"",COUNTIF('AUDIT-Q'!$C98:$J98,RESULTS!G$1))</f>
        <v/>
      </c>
      <c r="H103" s="12" t="str">
        <f>IF('AUDIT-Q'!$C98=0,"",COUNTIF('AUDIT-Q'!$C98:$J98,RESULTS!H$1))</f>
        <v/>
      </c>
    </row>
    <row r="104" spans="1:8" ht="30" hidden="1" customHeight="1" outlineLevel="1" x14ac:dyDescent="0.25">
      <c r="A104" s="6">
        <v>11.5</v>
      </c>
      <c r="B104" s="9" t="s">
        <v>97</v>
      </c>
      <c r="C104" s="12" t="str">
        <f>IF('AUDIT-Q'!$C99=0,"",COUNTIF('AUDIT-Q'!$C99:$J99,RESULTS!C$1))</f>
        <v/>
      </c>
      <c r="D104" s="12" t="str">
        <f>IF('AUDIT-Q'!$C99=0,"",COUNTIF('AUDIT-Q'!$C99:$J99,RESULTS!D$1))</f>
        <v/>
      </c>
      <c r="E104" s="12" t="str">
        <f>IF('AUDIT-Q'!$C99=0,"",COUNTIF('AUDIT-Q'!$C99:$J99,RESULTS!E$1))</f>
        <v/>
      </c>
      <c r="F104" s="12" t="str">
        <f>IF('AUDIT-Q'!$C99=0,"",COUNTIF('AUDIT-Q'!$C99:$J99,RESULTS!F$1))</f>
        <v/>
      </c>
      <c r="G104" s="12" t="str">
        <f>IF('AUDIT-Q'!$C99=0,"",COUNTIF('AUDIT-Q'!$C99:$J99,RESULTS!G$1))</f>
        <v/>
      </c>
      <c r="H104" s="12" t="str">
        <f>IF('AUDIT-Q'!$C99=0,"",COUNTIF('AUDIT-Q'!$C99:$J99,RESULTS!H$1))</f>
        <v/>
      </c>
    </row>
    <row r="105" spans="1:8" ht="30" hidden="1" customHeight="1" outlineLevel="1" x14ac:dyDescent="0.25">
      <c r="A105" s="6">
        <v>11.6</v>
      </c>
      <c r="B105" s="9" t="s">
        <v>98</v>
      </c>
      <c r="C105" s="12" t="str">
        <f>IF('AUDIT-Q'!$C100=0,"",COUNTIF('AUDIT-Q'!$C100:$J100,RESULTS!C$1))</f>
        <v/>
      </c>
      <c r="D105" s="12" t="str">
        <f>IF('AUDIT-Q'!$C100=0,"",COUNTIF('AUDIT-Q'!$C100:$J100,RESULTS!D$1))</f>
        <v/>
      </c>
      <c r="E105" s="12" t="str">
        <f>IF('AUDIT-Q'!$C100=0,"",COUNTIF('AUDIT-Q'!$C100:$J100,RESULTS!E$1))</f>
        <v/>
      </c>
      <c r="F105" s="12" t="str">
        <f>IF('AUDIT-Q'!$C100=0,"",COUNTIF('AUDIT-Q'!$C100:$J100,RESULTS!F$1))</f>
        <v/>
      </c>
      <c r="G105" s="12" t="str">
        <f>IF('AUDIT-Q'!$C100=0,"",COUNTIF('AUDIT-Q'!$C100:$J100,RESULTS!G$1))</f>
        <v/>
      </c>
      <c r="H105" s="12" t="str">
        <f>IF('AUDIT-Q'!$C100=0,"",COUNTIF('AUDIT-Q'!$C100:$J100,RESULTS!H$1))</f>
        <v/>
      </c>
    </row>
    <row r="106" spans="1:8" ht="15" hidden="1" customHeight="1" outlineLevel="1" x14ac:dyDescent="0.25">
      <c r="A106" s="6">
        <v>11.7</v>
      </c>
      <c r="B106" s="9" t="s">
        <v>99</v>
      </c>
      <c r="C106" s="12" t="str">
        <f>IF('AUDIT-Q'!$C101=0,"",COUNTIF('AUDIT-Q'!$C101:$J101,RESULTS!C$1))</f>
        <v/>
      </c>
      <c r="D106" s="12" t="str">
        <f>IF('AUDIT-Q'!$C101=0,"",COUNTIF('AUDIT-Q'!$C101:$J101,RESULTS!D$1))</f>
        <v/>
      </c>
      <c r="E106" s="12" t="str">
        <f>IF('AUDIT-Q'!$C101=0,"",COUNTIF('AUDIT-Q'!$C101:$J101,RESULTS!E$1))</f>
        <v/>
      </c>
      <c r="F106" s="12" t="str">
        <f>IF('AUDIT-Q'!$C101=0,"",COUNTIF('AUDIT-Q'!$C101:$J101,RESULTS!F$1))</f>
        <v/>
      </c>
      <c r="G106" s="12" t="str">
        <f>IF('AUDIT-Q'!$C101=0,"",COUNTIF('AUDIT-Q'!$C101:$J101,RESULTS!G$1))</f>
        <v/>
      </c>
      <c r="H106" s="12" t="str">
        <f>IF('AUDIT-Q'!$C101=0,"",COUNTIF('AUDIT-Q'!$C101:$J101,RESULTS!H$1))</f>
        <v/>
      </c>
    </row>
    <row r="107" spans="1:8" ht="30" hidden="1" customHeight="1" outlineLevel="1" x14ac:dyDescent="0.25">
      <c r="A107" s="6">
        <v>11.8</v>
      </c>
      <c r="B107" s="9" t="s">
        <v>100</v>
      </c>
      <c r="C107" s="12" t="e">
        <f>IF('AUDIT-Q'!#REF!=0,"",COUNTIF('AUDIT-Q'!#REF!,RESULTS!C$1))</f>
        <v>#REF!</v>
      </c>
      <c r="D107" s="12" t="e">
        <f>IF('AUDIT-Q'!#REF!=0,"",COUNTIF('AUDIT-Q'!#REF!,RESULTS!D$1))</f>
        <v>#REF!</v>
      </c>
      <c r="E107" s="12" t="e">
        <f>IF('AUDIT-Q'!#REF!=0,"",COUNTIF('AUDIT-Q'!#REF!,RESULTS!E$1))</f>
        <v>#REF!</v>
      </c>
      <c r="F107" s="12" t="e">
        <f>IF('AUDIT-Q'!#REF!=0,"",COUNTIF('AUDIT-Q'!#REF!,RESULTS!F$1))</f>
        <v>#REF!</v>
      </c>
      <c r="G107" s="12" t="e">
        <f>IF('AUDIT-Q'!#REF!=0,"",COUNTIF('AUDIT-Q'!#REF!,RESULTS!G$1))</f>
        <v>#REF!</v>
      </c>
      <c r="H107" s="12" t="e">
        <f>IF('AUDIT-Q'!#REF!=0,"",COUNTIF('AUDIT-Q'!#REF!,RESULTS!H$1))</f>
        <v>#REF!</v>
      </c>
    </row>
    <row r="108" spans="1:8" collapsed="1" x14ac:dyDescent="0.25"/>
  </sheetData>
  <conditionalFormatting sqref="E2:H107">
    <cfRule type="cellIs" dxfId="1" priority="1" operator="greaterThanOrEqual">
      <formula>1</formula>
    </cfRule>
  </conditionalFormatting>
  <conditionalFormatting sqref="I2:I11">
    <cfRule type="cellIs" dxfId="0" priority="2" operator="greaterThanOrEqual">
      <formula>1</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3"/>
  <sheetViews>
    <sheetView tabSelected="1" zoomScaleNormal="100" workbookViewId="0">
      <selection activeCell="A2" sqref="A2"/>
    </sheetView>
  </sheetViews>
  <sheetFormatPr defaultRowHeight="15" x14ac:dyDescent="0.25"/>
  <cols>
    <col min="1" max="1" width="28.140625" customWidth="1"/>
    <col min="2" max="2" width="9.140625" style="12"/>
    <col min="3" max="3" width="9.5703125" style="12" customWidth="1"/>
    <col min="4" max="4" width="52.28515625" customWidth="1"/>
    <col min="7" max="7" width="11" customWidth="1"/>
    <col min="8" max="8" width="16.5703125" bestFit="1" customWidth="1"/>
    <col min="9" max="9" width="9.42578125" customWidth="1"/>
    <col min="10" max="10" width="54.28515625" customWidth="1"/>
  </cols>
  <sheetData>
    <row r="1" spans="1:10" s="13" customFormat="1" x14ac:dyDescent="0.25">
      <c r="B1" s="11" t="s">
        <v>141</v>
      </c>
      <c r="C1" s="11" t="s">
        <v>142</v>
      </c>
      <c r="D1" s="13" t="s">
        <v>143</v>
      </c>
      <c r="E1" s="13" t="s">
        <v>144</v>
      </c>
      <c r="F1" s="13" t="s">
        <v>145</v>
      </c>
      <c r="G1" s="13" t="s">
        <v>146</v>
      </c>
      <c r="H1" s="13" t="s">
        <v>147</v>
      </c>
      <c r="I1" s="13" t="s">
        <v>148</v>
      </c>
      <c r="J1" s="13" t="s">
        <v>149</v>
      </c>
    </row>
    <row r="2" spans="1:10" s="15" customFormat="1" x14ac:dyDescent="0.25">
      <c r="A2" s="15" t="s">
        <v>150</v>
      </c>
      <c r="B2" s="14" t="s">
        <v>151</v>
      </c>
      <c r="C2" s="14">
        <v>568591</v>
      </c>
      <c r="D2" s="15" t="s">
        <v>152</v>
      </c>
      <c r="E2" s="16" t="s">
        <v>153</v>
      </c>
      <c r="F2" s="16" t="s">
        <v>154</v>
      </c>
      <c r="G2" s="15" t="s">
        <v>155</v>
      </c>
      <c r="H2" s="15" t="s">
        <v>156</v>
      </c>
      <c r="I2" s="17">
        <v>42156</v>
      </c>
      <c r="J2" s="15" t="s">
        <v>157</v>
      </c>
    </row>
    <row r="3" spans="1:10" x14ac:dyDescent="0.25">
      <c r="A3">
        <v>1</v>
      </c>
      <c r="I3" s="19"/>
    </row>
    <row r="4" spans="1:10" x14ac:dyDescent="0.25">
      <c r="A4">
        <v>2</v>
      </c>
      <c r="I4" s="19"/>
    </row>
    <row r="5" spans="1:10" x14ac:dyDescent="0.25">
      <c r="A5">
        <v>3</v>
      </c>
      <c r="I5" s="19"/>
    </row>
    <row r="6" spans="1:10" x14ac:dyDescent="0.25">
      <c r="A6">
        <v>4</v>
      </c>
      <c r="I6" s="19"/>
    </row>
    <row r="7" spans="1:10" x14ac:dyDescent="0.25">
      <c r="A7">
        <v>5</v>
      </c>
      <c r="I7" s="19"/>
    </row>
    <row r="8" spans="1:10" x14ac:dyDescent="0.25">
      <c r="A8">
        <v>6</v>
      </c>
      <c r="I8" s="19"/>
    </row>
    <row r="9" spans="1:10" x14ac:dyDescent="0.25">
      <c r="A9">
        <v>7</v>
      </c>
      <c r="I9" s="19"/>
    </row>
    <row r="10" spans="1:10" x14ac:dyDescent="0.25">
      <c r="A10">
        <v>8</v>
      </c>
      <c r="I10" s="19"/>
    </row>
    <row r="11" spans="1:10" x14ac:dyDescent="0.25">
      <c r="A11">
        <v>9</v>
      </c>
    </row>
    <row r="12" spans="1:10" x14ac:dyDescent="0.25">
      <c r="A12">
        <v>10</v>
      </c>
    </row>
    <row r="13" spans="1:10" x14ac:dyDescent="0.25">
      <c r="A13">
        <v>11</v>
      </c>
    </row>
    <row r="14" spans="1:10" x14ac:dyDescent="0.25">
      <c r="A14">
        <v>12</v>
      </c>
    </row>
    <row r="15" spans="1:10" x14ac:dyDescent="0.25">
      <c r="A15">
        <v>13</v>
      </c>
    </row>
    <row r="16" spans="1:10" x14ac:dyDescent="0.25">
      <c r="A16">
        <v>14</v>
      </c>
    </row>
    <row r="17" spans="1:1" x14ac:dyDescent="0.25">
      <c r="A17">
        <v>15</v>
      </c>
    </row>
    <row r="18" spans="1:1" x14ac:dyDescent="0.25">
      <c r="A18">
        <v>16</v>
      </c>
    </row>
    <row r="19" spans="1:1" x14ac:dyDescent="0.25">
      <c r="A19">
        <v>17</v>
      </c>
    </row>
    <row r="20" spans="1:1" x14ac:dyDescent="0.25">
      <c r="A20">
        <v>18</v>
      </c>
    </row>
    <row r="21" spans="1:1" x14ac:dyDescent="0.25">
      <c r="A21">
        <v>19</v>
      </c>
    </row>
    <row r="22" spans="1:1" x14ac:dyDescent="0.25">
      <c r="A22">
        <v>20</v>
      </c>
    </row>
    <row r="23" spans="1:1" x14ac:dyDescent="0.25">
      <c r="A23">
        <v>21</v>
      </c>
    </row>
    <row r="24" spans="1:1" x14ac:dyDescent="0.25">
      <c r="A24">
        <v>22</v>
      </c>
    </row>
    <row r="25" spans="1:1" x14ac:dyDescent="0.25">
      <c r="A25">
        <v>23</v>
      </c>
    </row>
    <row r="26" spans="1:1" x14ac:dyDescent="0.25">
      <c r="A26">
        <v>24</v>
      </c>
    </row>
    <row r="27" spans="1:1" x14ac:dyDescent="0.25">
      <c r="A27">
        <v>25</v>
      </c>
    </row>
    <row r="28" spans="1:1" x14ac:dyDescent="0.25">
      <c r="A28">
        <v>26</v>
      </c>
    </row>
    <row r="29" spans="1:1" x14ac:dyDescent="0.25">
      <c r="A29">
        <v>27</v>
      </c>
    </row>
    <row r="30" spans="1:1" x14ac:dyDescent="0.25">
      <c r="A30">
        <v>28</v>
      </c>
    </row>
    <row r="31" spans="1:1" x14ac:dyDescent="0.25">
      <c r="A31">
        <v>29</v>
      </c>
    </row>
    <row r="32" spans="1:1" x14ac:dyDescent="0.25">
      <c r="A32">
        <v>30</v>
      </c>
    </row>
    <row r="33" spans="1:1" x14ac:dyDescent="0.25">
      <c r="A33">
        <v>31</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General Document" ma:contentTypeID="0x010100FBB1BDE89FB27C449A0E29AF421E3124010022CC8411B70DA446AA7C1CDFE72F26B2" ma:contentTypeVersion="16" ma:contentTypeDescription="Create a new document." ma:contentTypeScope="" ma:versionID="8a12ad68cc22fecf51cc8c72f1780c59">
  <xsd:schema xmlns:xsd="http://www.w3.org/2001/XMLSchema" xmlns:xs="http://www.w3.org/2001/XMLSchema" xmlns:p="http://schemas.microsoft.com/office/2006/metadata/properties" xmlns:ns1="http://schemas.microsoft.com/sharepoint/v3" xmlns:ns3="b9f1db13-37d0-4e45-944c-b878e8992007" xmlns:ns4="e6bb6fa4-9c23-4df5-9c72-0315fa8fef6d" xmlns:ns5="fae423db-7aea-40a7-8e81-2a365c617d65" xmlns:ns6="c79d5f6c-ad16-48bd-8ef8-eaf9d47373f4" xmlns:ns7="3164960d-d470-4fcd-a52f-99f3ab96367b" targetNamespace="http://schemas.microsoft.com/office/2006/metadata/properties" ma:root="true" ma:fieldsID="fe54f6a970a2c7f66236cd8c9eb148f1" ns1:_="" ns3:_="" ns4:_="" ns5:_="" ns6:_="" ns7:_="">
    <xsd:import namespace="http://schemas.microsoft.com/sharepoint/v3"/>
    <xsd:import namespace="b9f1db13-37d0-4e45-944c-b878e8992007"/>
    <xsd:import namespace="e6bb6fa4-9c23-4df5-9c72-0315fa8fef6d"/>
    <xsd:import namespace="fae423db-7aea-40a7-8e81-2a365c617d65"/>
    <xsd:import namespace="c79d5f6c-ad16-48bd-8ef8-eaf9d47373f4"/>
    <xsd:import namespace="3164960d-d470-4fcd-a52f-99f3ab96367b"/>
    <xsd:element name="properties">
      <xsd:complexType>
        <xsd:sequence>
          <xsd:element name="documentManagement">
            <xsd:complexType>
              <xsd:all>
                <xsd:element ref="ns4:IP_x0020_Classification"/>
                <xsd:element ref="ns4:Preservation_x0020_Order_x0020_Numbers" minOccurs="0"/>
                <xsd:element ref="ns3:Retention_x0020_Start_x0020_Date" minOccurs="0"/>
                <xsd:element ref="ns3:Retain_x0020_Until_x0020_Date" minOccurs="0"/>
                <xsd:element ref="ns3:TaxCatchAllLabel" minOccurs="0"/>
                <xsd:element ref="ns5:p01231d88c934046812dbe39cf15431a" minOccurs="0"/>
                <xsd:element ref="ns5:p01231d88c934046812dbe39cf15430a" minOccurs="0"/>
                <xsd:element ref="ns3:TaxCatchAll" minOccurs="0"/>
                <xsd:element ref="ns1:ExtractedContributor" minOccurs="0"/>
                <xsd:element ref="ns3:Inactive_x0020_Record" minOccurs="0"/>
                <xsd:element ref="ns3:f1f5acf37a9e4df8843432af9802a72a" minOccurs="0"/>
                <xsd:element ref="ns6:MediaServiceMetadata" minOccurs="0"/>
                <xsd:element ref="ns6:MediaServiceFastMetadata" minOccurs="0"/>
                <xsd:element ref="ns6:MediaServiceAutoKeyPoints" minOccurs="0"/>
                <xsd:element ref="ns6:MediaServiceKeyPoints" minOccurs="0"/>
                <xsd:element ref="ns7:SharedWithUsers" minOccurs="0"/>
                <xsd:element ref="ns7:SharedWithDetails" minOccurs="0"/>
                <xsd:element ref="ns6:MediaServiceObjectDetectorVersions" minOccurs="0"/>
                <xsd:element ref="ns6:MediaServiceSearchProperties" minOccurs="0"/>
                <xsd:element ref="ns6:MediaServiceDateTaken" minOccurs="0"/>
                <xsd:element ref="ns6:MediaServiceGenerationTime" minOccurs="0"/>
                <xsd:element ref="ns6:MediaServiceEventHashCode" minOccurs="0"/>
                <xsd:element ref="ns6: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xtractedContributor" ma:index="19" nillable="true" ma:displayName="Extracted Contributor" ma:description="List of names of individuals who participated in creation of the content." ma:internalName="ExtractedContributor"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9f1db13-37d0-4e45-944c-b878e8992007" elementFormDefault="qualified">
    <xsd:import namespace="http://schemas.microsoft.com/office/2006/documentManagement/types"/>
    <xsd:import namespace="http://schemas.microsoft.com/office/infopath/2007/PartnerControls"/>
    <xsd:element name="Retention_x0020_Start_x0020_Date" ma:index="7" nillable="true" ma:displayName="Retention Start Date" ma:description="The start date for retention period calculation." ma:format="DateOnly" ma:internalName="Retention_x0020_Start_x0020_Date">
      <xsd:simpleType>
        <xsd:restriction base="dms:DateTime"/>
      </xsd:simpleType>
    </xsd:element>
    <xsd:element name="Retain_x0020_Until_x0020_Date" ma:index="8" nillable="true" ma:displayName="Retain Until Date" ma:description="The start date for retention period calculation." ma:format="DateOnly" ma:internalName="Retain_x0020_Until_x0020_Date">
      <xsd:simpleType>
        <xsd:restriction base="dms:DateTime"/>
      </xsd:simpleType>
    </xsd:element>
    <xsd:element name="TaxCatchAllLabel" ma:index="9" nillable="true" ma:displayName="Taxonomy Catch All Column1" ma:hidden="true" ma:list="{b151e8e9-87b2-4af0-b92d-f1fc4b725a39}" ma:internalName="TaxCatchAllLabel" ma:readOnly="true" ma:showField="CatchAllDataLabel" ma:web="3164960d-d470-4fcd-a52f-99f3ab96367b">
      <xsd:complexType>
        <xsd:complexContent>
          <xsd:extension base="dms:MultiChoiceLookup">
            <xsd:sequence>
              <xsd:element name="Value" type="dms:Lookup" maxOccurs="unbounded" minOccurs="0" nillable="true"/>
            </xsd:sequence>
          </xsd:extension>
        </xsd:complexContent>
      </xsd:complexType>
    </xsd:element>
    <xsd:element name="TaxCatchAll" ma:index="17" nillable="true" ma:displayName="Taxonomy Catch All Column" ma:hidden="true" ma:list="{b151e8e9-87b2-4af0-b92d-f1fc4b725a39}" ma:internalName="TaxCatchAll" ma:showField="CatchAllData" ma:web="3164960d-d470-4fcd-a52f-99f3ab96367b">
      <xsd:complexType>
        <xsd:complexContent>
          <xsd:extension base="dms:MultiChoiceLookup">
            <xsd:sequence>
              <xsd:element name="Value" type="dms:Lookup" maxOccurs="unbounded" minOccurs="0" nillable="true"/>
            </xsd:sequence>
          </xsd:extension>
        </xsd:complexContent>
      </xsd:complexType>
    </xsd:element>
    <xsd:element name="Inactive_x0020_Record" ma:index="20" nillable="true" ma:displayName="Inactive Record" ma:description="Used to designate records as inactive." ma:internalName="Inactive_x0020_Record">
      <xsd:simpleType>
        <xsd:restriction base="dms:Boolean"/>
      </xsd:simpleType>
    </xsd:element>
    <xsd:element name="f1f5acf37a9e4df8843432af9802a72a" ma:index="21" nillable="true" ma:taxonomy="true" ma:internalName="f1f5acf37a9e4df8843432af9802a72a" ma:taxonomyFieldName="Chevron_x0020_Discipline" ma:displayName="Chevron Discipline" ma:fieldId="{f1f5acf3-7a9e-4df8-8434-32af9802a72a}" ma:sspId="03b784c7-ee61-4ee7-89a9-d87ec2bf0954" ma:termSetId="84286160-6c66-4956-a819-71b834cd237e"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6bb6fa4-9c23-4df5-9c72-0315fa8fef6d" elementFormDefault="qualified">
    <xsd:import namespace="http://schemas.microsoft.com/office/2006/documentManagement/types"/>
    <xsd:import namespace="http://schemas.microsoft.com/office/infopath/2007/PartnerControls"/>
    <xsd:element name="IP_x0020_Classification" ma:index="4" ma:displayName="IP Classification" ma:default="Company Confidential" ma:description="Sensitivity of the information" ma:format="Dropdown" ma:internalName="IP_x0020_Classification">
      <xsd:simpleType>
        <xsd:restriction base="dms:Choice">
          <xsd:enumeration value="Public"/>
          <xsd:enumeration value="Company Confidential"/>
          <xsd:enumeration value="Confidential Restricted"/>
          <xsd:enumeration value="Classified"/>
        </xsd:restriction>
      </xsd:simpleType>
    </xsd:element>
    <xsd:element name="Preservation_x0020_Order_x0020_Numbers" ma:index="5" nillable="true" ma:displayName="Preservation Order Numbers" ma:description="Preservation Order Numbers, when issued by Legal, require that this item MUST NOT be deleted. Separate multiple preservation order numbers with commas." ma:internalName="Preservation_x0020_Order_x0020_Number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ae423db-7aea-40a7-8e81-2a365c617d65" elementFormDefault="qualified">
    <xsd:import namespace="http://schemas.microsoft.com/office/2006/documentManagement/types"/>
    <xsd:import namespace="http://schemas.microsoft.com/office/infopath/2007/PartnerControls"/>
    <xsd:element name="p01231d88c934046812dbe39cf15431a" ma:index="13" ma:taxonomy="true" ma:internalName="p01231d88c934046812dbe39cf15431a" ma:taxonomyFieldName="Retention_x0020_Category" ma:displayName="Retention Category" ma:readOnly="false" ma:default="1;#Non-Record|1e0fcd32-c316-4759-967f-319c5b88aa7f" ma:fieldId="{fd1ef4d8-3e07-46a2-b2b4-c9e81ccc81f4}" ma:sspId="03b784c7-ee61-4ee7-89a9-d87ec2bf0954" ma:termSetId="fda4940a-b680-4317-929f-5e2e0638e24f" ma:anchorId="00000000-0000-0000-0000-000000000000" ma:open="false" ma:isKeyword="false">
      <xsd:complexType>
        <xsd:sequence>
          <xsd:element ref="pc:Terms" minOccurs="0" maxOccurs="1"/>
        </xsd:sequence>
      </xsd:complexType>
    </xsd:element>
    <xsd:element name="p01231d88c934046812dbe39cf15430a" ma:index="16" ma:taxonomy="true" ma:internalName="p01231d88c934046812dbe39cf15430a" ma:taxonomyFieldName="Chevron_x0020_Organization" ma:displayName="Owner Organization" ma:default="2;#TCO|d4ae46a7-a454-47f2-85d3-2922fdf28d97" ma:fieldId="{901231d8-8c93-4046-812d-be39cf15430a}" ma:sspId="03b784c7-ee61-4ee7-89a9-d87ec2bf0954" ma:termSetId="4bf10e93-cbf8-470b-bd43-152d61f74238"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79d5f6c-ad16-48bd-8ef8-eaf9d47373f4"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DateTaken" ma:index="31" nillable="true" ma:displayName="MediaServiceDateTaken" ma:hidden="true" ma:indexed="true" ma:internalName="MediaServiceDateTaken" ma:readOnly="true">
      <xsd:simpleType>
        <xsd:restriction base="dms:Text"/>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164960d-d470-4fcd-a52f-99f3ab96367b" elementFormDefault="qualified">
    <xsd:import namespace="http://schemas.microsoft.com/office/2006/documentManagement/types"/>
    <xsd:import namespace="http://schemas.microsoft.com/office/infopath/2007/PartnerControls"/>
    <xsd:element name="SharedWithUsers" ma:index="2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axOccurs="1" ma:index="2" ma:displayName="Author"/>
        <xsd:element ref="dcterms:created" minOccurs="0" maxOccurs="1"/>
        <xsd:element ref="dc:identifier" minOccurs="0" maxOccurs="1"/>
        <xsd:element name="contentType" minOccurs="0" maxOccurs="1" type="xsd:string" ma:index="18" ma:displayName="Content Type"/>
        <xsd:element ref="dc:title"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ct:contentTypeSchema xmlns:ct="http://schemas.microsoft.com/office/2006/metadata/contentType" xmlns:ma="http://schemas.microsoft.com/office/2006/metadata/properties/metaAttributes" ct:_="" ma:_="" ma:contentTypeName="Document" ma:contentTypeID="0x0101007741C0F5783F7D48907DAB33EEEB9B55" ma:contentTypeVersion="3" ma:contentTypeDescription="Create a new document." ma:contentTypeScope="" ma:versionID="307e7b5189dfece7926d3f755334001a">
  <xsd:schema xmlns:xsd="http://www.w3.org/2001/XMLSchema" xmlns:xs="http://www.w3.org/2001/XMLSchema" xmlns:p="http://schemas.microsoft.com/office/2006/metadata/properties" xmlns:ns2="461d2339-64d0-4f07-a277-1d9634d3fbdc" targetNamespace="http://schemas.microsoft.com/office/2006/metadata/properties" ma:root="true" ma:fieldsID="859fa6af60e0378edcb82a030a441b4b" ns2:_="">
    <xsd:import namespace="461d2339-64d0-4f07-a277-1d9634d3fb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1d2339-64d0-4f07-a277-1d9634d3fb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700B2CC-E33C-416C-AE47-A4EAE25DF8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9f1db13-37d0-4e45-944c-b878e8992007"/>
    <ds:schemaRef ds:uri="e6bb6fa4-9c23-4df5-9c72-0315fa8fef6d"/>
    <ds:schemaRef ds:uri="fae423db-7aea-40a7-8e81-2a365c617d65"/>
    <ds:schemaRef ds:uri="c79d5f6c-ad16-48bd-8ef8-eaf9d47373f4"/>
    <ds:schemaRef ds:uri="3164960d-d470-4fcd-a52f-99f3ab9636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7E8B0C-400D-4494-AAD2-C491C2810973}"/>
</file>

<file path=customXml/itemProps3.xml><?xml version="1.0" encoding="utf-8"?>
<ds:datastoreItem xmlns:ds="http://schemas.openxmlformats.org/officeDocument/2006/customXml" ds:itemID="{D8420615-D0B0-45A2-BA84-68CDE3363408}">
  <ds:schemaRefs>
    <ds:schemaRef ds:uri="http://schemas.microsoft.com/sharepoint/v3/contenttype/forms"/>
  </ds:schemaRefs>
</ds:datastoreItem>
</file>

<file path=customXml/itemProps4.xml><?xml version="1.0" encoding="utf-8"?>
<ds:datastoreItem xmlns:ds="http://schemas.openxmlformats.org/officeDocument/2006/customXml" ds:itemID="{BA67DC0B-5FF7-4187-AEB3-4E0947E724FF}">
  <ds:schemaRefs>
    <ds:schemaRef ds:uri="http://schemas.microsoft.com/office/2006/metadata/properties"/>
    <ds:schemaRef ds:uri="http://schemas.microsoft.com/office/infopath/2007/PartnerControls"/>
    <ds:schemaRef ds:uri="fae423db-7aea-40a7-8e81-2a365c617d65"/>
    <ds:schemaRef ds:uri="b9f1db13-37d0-4e45-944c-b878e8992007"/>
    <ds:schemaRef ds:uri="e6bb6fa4-9c23-4df5-9c72-0315fa8fef6d"/>
    <ds:schemaRef ds:uri="http://schemas.microsoft.com/sharepoint/v3"/>
  </ds:schemaRefs>
</ds:datastoreItem>
</file>

<file path=docMetadata/LabelInfo.xml><?xml version="1.0" encoding="utf-8"?>
<clbl:labelList xmlns:clbl="http://schemas.microsoft.com/office/2020/mipLabelMetadata">
  <clbl:label id="{6e4db608-ddec-4a44-8ad7-7d5a79b7448e}" enabled="1" method="Standard" siteId="{fd799da1-bfc1-4234-a91c-72b3a1cb9e2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AUDIT-Q</vt:lpstr>
      <vt:lpstr>Criteria</vt:lpstr>
      <vt:lpstr>RESULTS</vt:lpstr>
      <vt:lpstr>List of JPs</vt:lpstr>
    </vt:vector>
  </TitlesOfParts>
  <Manager/>
  <Company>Chevron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 Audit Mechanical</dc:title>
  <dc:subject/>
  <dc:creator>Daniyar Zhussupov</dc:creator>
  <cp:keywords/>
  <dc:description/>
  <cp:lastModifiedBy>Medetov, Nauryzbek [Tengizchevroil]</cp:lastModifiedBy>
  <cp:revision/>
  <dcterms:created xsi:type="dcterms:W3CDTF">2015-06-02T01:35:55Z</dcterms:created>
  <dcterms:modified xsi:type="dcterms:W3CDTF">2026-04-14T05:45:37Z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tention Category">
    <vt:lpwstr>1;#Non-Record|1e0fcd32-c316-4759-967f-319c5b88aa7f</vt:lpwstr>
  </property>
  <property fmtid="{D5CDD505-2E9C-101B-9397-08002B2CF9AE}" pid="3" name="ContentTypeId">
    <vt:lpwstr>0x0101007741C0F5783F7D48907DAB33EEEB9B55</vt:lpwstr>
  </property>
  <property fmtid="{D5CDD505-2E9C-101B-9397-08002B2CF9AE}" pid="4" name="Chevron Organization">
    <vt:lpwstr>2;#TCO|d4ae46a7-a454-47f2-85d3-2922fdf28d97</vt:lpwstr>
  </property>
  <property fmtid="{D5CDD505-2E9C-101B-9397-08002B2CF9AE}" pid="5" name="Chevron Discipline">
    <vt:lpwstr/>
  </property>
  <property fmtid="{D5CDD505-2E9C-101B-9397-08002B2CF9AE}" pid="6" name="MSIP_Label_6e4db608-ddec-4a44-8ad7-7d5a79b7448e_Enabled">
    <vt:lpwstr>true</vt:lpwstr>
  </property>
  <property fmtid="{D5CDD505-2E9C-101B-9397-08002B2CF9AE}" pid="7" name="MSIP_Label_6e4db608-ddec-4a44-8ad7-7d5a79b7448e_SetDate">
    <vt:lpwstr>2022-07-23T11:54:34Z</vt:lpwstr>
  </property>
  <property fmtid="{D5CDD505-2E9C-101B-9397-08002B2CF9AE}" pid="8" name="MSIP_Label_6e4db608-ddec-4a44-8ad7-7d5a79b7448e_Method">
    <vt:lpwstr>Standard</vt:lpwstr>
  </property>
  <property fmtid="{D5CDD505-2E9C-101B-9397-08002B2CF9AE}" pid="9" name="MSIP_Label_6e4db608-ddec-4a44-8ad7-7d5a79b7448e_Name">
    <vt:lpwstr>Internal</vt:lpwstr>
  </property>
  <property fmtid="{D5CDD505-2E9C-101B-9397-08002B2CF9AE}" pid="10" name="MSIP_Label_6e4db608-ddec-4a44-8ad7-7d5a79b7448e_SiteId">
    <vt:lpwstr>fd799da1-bfc1-4234-a91c-72b3a1cb9e26</vt:lpwstr>
  </property>
  <property fmtid="{D5CDD505-2E9C-101B-9397-08002B2CF9AE}" pid="11" name="MSIP_Label_6e4db608-ddec-4a44-8ad7-7d5a79b7448e_ActionId">
    <vt:lpwstr>03a5cd25-d5b5-4a46-95ae-69389e0fd727</vt:lpwstr>
  </property>
  <property fmtid="{D5CDD505-2E9C-101B-9397-08002B2CF9AE}" pid="12" name="MSIP_Label_6e4db608-ddec-4a44-8ad7-7d5a79b7448e_ContentBits">
    <vt:lpwstr>0</vt:lpwstr>
  </property>
  <property fmtid="{D5CDD505-2E9C-101B-9397-08002B2CF9AE}" pid="13" name="Retention_x0020_Category">
    <vt:lpwstr>1;#Non-Record|1e0fcd32-c316-4759-967f-319c5b88aa7f</vt:lpwstr>
  </property>
  <property fmtid="{D5CDD505-2E9C-101B-9397-08002B2CF9AE}" pid="14" name="Chevron_x0020_Organization">
    <vt:lpwstr>2;#TCO|d4ae46a7-a454-47f2-85d3-2922fdf28d97</vt:lpwstr>
  </property>
  <property fmtid="{D5CDD505-2E9C-101B-9397-08002B2CF9AE}" pid="15" name="Chevron_x0020_Discipline">
    <vt:lpwstr/>
  </property>
</Properties>
</file>