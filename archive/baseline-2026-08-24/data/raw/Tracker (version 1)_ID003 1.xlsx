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uriz1\Downloads\"/>
    </mc:Choice>
  </mc:AlternateContent>
  <xr:revisionPtr revIDLastSave="0" documentId="13_ncr:1_{606B2641-6248-4AD4-BCD3-932D43FAF321}" xr6:coauthVersionLast="47" xr6:coauthVersionMax="47" xr10:uidLastSave="{00000000-0000-0000-0000-000000000000}"/>
  <bookViews>
    <workbookView xWindow="-108" yWindow="-108" windowWidth="30936" windowHeight="16776" tabRatio="500" activeTab="3" xr2:uid="{00000000-000D-0000-FFFF-FFFF00000000}"/>
  </bookViews>
  <sheets>
    <sheet name="0. Prompt Schema" sheetId="1" r:id="rId1"/>
    <sheet name="1. Cover" sheetId="2" r:id="rId2"/>
    <sheet name="2. Test Cases" sheetId="3" r:id="rId3"/>
    <sheet name="3. Run Log" sheetId="4" r:id="rId4"/>
    <sheet name="4. Scoring" sheetId="5" r:id="rId5"/>
    <sheet name="5. Engineer Scoring" sheetId="6" r:id="rId6"/>
    <sheet name="6. Metrics Definitions" sheetId="7" r:id="rId7"/>
    <sheet name="7. Summary" sheetId="8" r:id="rId8"/>
    <sheet name="Evaluation" sheetId="9" r:id="rId9"/>
  </sheets>
  <definedNames>
    <definedName name="_xlnm._FilterDatabase" localSheetId="2" hidden="1">'2. Test Cases'!$A$2:$R$38</definedName>
    <definedName name="ExternalData_1" localSheetId="8" hidden="1">Evaluation!$I$2:$O$38</definedName>
    <definedName name="FromArray_1">_xlfn.ANCHORARRAY(Evaluation!$A$2)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8" l="1"/>
  <c r="C19" i="8"/>
  <c r="C25" i="8"/>
  <c r="C24" i="8"/>
  <c r="C23" i="8"/>
  <c r="C22" i="8"/>
  <c r="C21" i="8"/>
  <c r="C18" i="8"/>
  <c r="C14" i="8"/>
  <c r="C13" i="8"/>
  <c r="C12" i="8"/>
  <c r="C11" i="8"/>
  <c r="C10" i="8"/>
  <c r="C9" i="8"/>
  <c r="C8" i="8"/>
  <c r="C7" i="8"/>
  <c r="A2" i="9" a="1"/>
  <c r="A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200-000001000000}">
      <text>
        <r>
          <rPr>
            <sz val="11"/>
            <color theme="1"/>
            <rFont val="Calibri"/>
            <family val="2"/>
            <charset val="1"/>
          </rPr>
          <t>Author:
Mostly taken from repair plan, some from JL exerpt.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tc={FD51A6B5-6EC7-40C2-94E0-D07F40D28BBC}</author>
  </authors>
  <commentList>
    <comment ref="C1" authorId="0" shapeId="0" xr:uid="{FD51A6B5-6EC7-40C2-94E0-D07F40D28BBC}">
      <text>
        <t>[Threaded comment]
Your version of Excel allows you to read this threaded comment; however, any edits to it will get removed if the file is opened in a newer version of Excel. Learn more: https://go.microsoft.com/fwlink/?linkid=870924
Comment:
    Python code located in Evaluation page.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Medetov, Nauryzbek [Tengizchevroil]</author>
  </authors>
  <commentList>
    <comment ref="A2" authorId="0" shapeId="0" xr:uid="{787AF923-A70C-41BA-80CA-1A35537CDB8A}">
      <text>
        <r>
          <rPr>
            <b/>
            <sz val="9"/>
            <color indexed="81"/>
            <rFont val="Tahoma"/>
            <charset val="1"/>
          </rPr>
          <t>Medetov, Nauryzbek [Tengizchevroil]:</t>
        </r>
        <r>
          <rPr>
            <sz val="9"/>
            <color indexed="81"/>
            <rFont val="Tahoma"/>
            <charset val="1"/>
          </rPr>
          <t xml:space="preserve">
Applicable for ID-001 series.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FAA78E-F431-4B18-BC07-DECDB9F707CF}" keepAlive="1" name="Query - FromArray_1" description="Connection to the 'FromArray_1' query in the workbook." type="5" refreshedVersion="0" background="1" saveData="1">
    <dbPr connection="Provider=Microsoft.Mashup.OleDb.1;Data Source=$Workbook$;Location=FromArray_1;Extended Properties=&quot;&quot;" command="SELECT * FROM [FromArray_1]"/>
  </connection>
  <connection id="2" xr16:uid="{D7C70515-66B9-4C61-BA3D-18649371822A}" keepAlive="1" name="Query - FromArray_1 (2)" description="Connection to the 'FromArray_1 (2)' query in the workbook." type="5" refreshedVersion="8" background="1" saveData="1">
    <dbPr connection="Provider=Microsoft.Mashup.OleDb.1;Data Source=$Workbook$;Location=&quot;FromArray_1 (2)&quot;;Extended Properties=&quot;&quot;" command="SELECT * FROM [FromArray_1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import re
import pandas as pd 
from nltk.stem import SnowballStemmer
#text pulling
tc = xl(%P2%)
rl = xl(%P3%)
#stemmer
stem = SnowballStemmer("english").stem
#stop wods
STOP = set("""a an the and or but if then else of to in on at by for with whithout from into over under as is are was were be been being this that these those it its their our your my we you they i he she them us do does did done have has had not no not so than too very can will shall should would may might must per each all any both few more most other some such only own same up out off about above below again further once here there when why how which who whom that""")
EMPTY = {"", "N/A", "NA", "-", "NONE"}
#Tokenizning 
def token(t):
    if t is None:
        return None
    s = str(t).strip()
    if s.upper() in EMPTY:
        return None
    w = re.findall(r"[a-z]{2,}", s.lower())
    w = [x for x in w if x not in STOP]
    return set(stem(x) for x in w)
#Metrics
def score(ref_text, gen_text):
    R = token(ref_text)
    if R is None:
        return ("N/A", "N/A", "N/A")
    A = token(gen_text) or set()
    L = len(R &amp; A)
    rec = 100*L/len(R) if R else 0
    prec = 100*L/len(A) if A else 0
    f1 = 2*rec*prec/(rec + prec) if (rec + prec) else 0
    return (round (rec), round(prec), round(f1))
#lookup
ref = {}
for _, row in tc.iterrows():
    tid = row.iloc[0]
    if pd.isna(tid):
        continue
    ref[str(tid).strip()] = (row.iloc[11], row.iloc[12])
#Scoring 
out = []
for _, row in rl.iterrows():
    tid = row.iloc[0]
    if pd.isna(tid):
        continue 
    tid = str(tid).strip()
    rP, rS = ref.get(tid, (None, None))
    pr = score(rP, row.iloc[6])
    sr = score(rS, row.iloc[7])
    out.append([tid, pr[0], pr[1], pr[2], sr[0], sr[1], sr[2]])
#Result table
result = pd.DataFrame(out, columns=[
    "Test ID",
    "PSW Recall %%", "PSW Precision %%", "PSW F1 %%",
    "Shop Recall %%","Shop Precision %%","Shop F1 %%"])
result
</code>
    </pythonScript>
  </pythonScripts>
</python>
</file>

<file path=xl/sharedStrings.xml><?xml version="1.0" encoding="utf-8"?>
<sst xmlns="http://schemas.openxmlformats.org/spreadsheetml/2006/main" count="1643" uniqueCount="769">
  <si>
    <t>AI Engineering Assistant — Prompt Schema</t>
  </si>
  <si>
    <t>Engineer typed free-text → extractor pulls Mandatory inputs → RAG-augmented generation</t>
  </si>
  <si>
    <r>
      <rPr>
        <b/>
        <sz val="13"/>
        <color rgb="FF0D1B2A"/>
        <rFont val="Arial"/>
      </rPr>
      <t xml:space="preserve">  ▸  Canonical prompt.</t>
    </r>
    <r>
      <rPr>
        <sz val="13"/>
        <color rgb="FF0D1B2A"/>
        <rFont val="Arial"/>
      </rPr>
      <t xml:space="preserve"> </t>
    </r>
    <r>
      <rPr>
        <i/>
        <sz val="13"/>
        <color rgb="FF0D1B2A"/>
        <rFont val="Arial"/>
      </rPr>
      <t>Note: Preliminary structure tuned with Markup and may be modified as needed.</t>
    </r>
  </si>
  <si>
    <t>120-SL04-24-150H03</t>
  </si>
  <si>
    <t>.</t>
  </si>
  <si>
    <t>In-kind pipe section replacement</t>
  </si>
  <si>
    <t>,</t>
  </si>
  <si>
    <t>4 m between</t>
  </si>
  <si>
    <t>TP-25-0424/001 and TP-25-0424/002</t>
  </si>
  <si>
    <t>Insulated, no heat tracing</t>
  </si>
  <si>
    <t>Process conditions: Pdes 10 barg, Poper 6 barg, Tdes 220°C, Toper 180°C.</t>
  </si>
  <si>
    <t>▼</t>
  </si>
  <si>
    <t>line_number 
(includes line_number)</t>
  </si>
  <si>
    <t>repair_type (= scope_type)</t>
  </si>
  <si>
    <t>extent</t>
  </si>
  <si>
    <t>tie_in_ids</t>
  </si>
  <si>
    <t>insulation + heat_tracing</t>
  </si>
  <si>
    <t>Pdes / Poper / Tdes / Toper</t>
  </si>
  <si>
    <t xml:space="preserve">  ▸  Mandatory inputs (tool shall clarify if missing)</t>
  </si>
  <si>
    <t>Field</t>
  </si>
  <si>
    <t>Example value</t>
  </si>
  <si>
    <t>Description / Why required</t>
  </si>
  <si>
    <t>Derives via</t>
  </si>
  <si>
    <t>Failure mode</t>
  </si>
  <si>
    <t>line_number</t>
  </si>
  <si>
    <t>Full canonical TCO line number (area-fluid-size-class). Drives the majority of downstream technical detail.</t>
  </si>
  <si>
    <t>RAG → PIM-SU-5112 Fluid Code Table + Paint Selection Table → fluid, material, NDE class, PWHT, coating, hydrotest pressure.</t>
  </si>
  <si>
    <t>Engineer types partial or non-standard line; lookup returns low confidence → ask back.</t>
  </si>
  <si>
    <t>repair_type</t>
  </si>
  <si>
    <t>TLR removal with section replacement</t>
  </si>
  <si>
    <t>Cannot be deduced from line number alone — same line can host multiple repair types with different step sets.</t>
  </si>
  <si>
    <t>Free text → mapped to cohort (in-kind section, TLR removal+replacement, valve in-kind, support, drain/vent, jacket-pipe).</t>
  </si>
  <si>
    <t>Vague entry like 'fix the pipe' → ask for specifics.</t>
  </si>
  <si>
    <t>4 m / 1 spool / between TP-A and TP-B</t>
  </si>
  <si>
    <t>Drives step granularity (count of cuts/welds), MR quantities, downstream drawing references.</t>
  </si>
  <si>
    <t>Free text → parsed to length or count or boundary tie-ins.</t>
  </si>
  <si>
    <t>Missing extent → engineer prompted before generation.</t>
  </si>
  <si>
    <t>TP-25-0424/001, TP-25-0424/002</t>
  </si>
  <si>
    <r>
      <t xml:space="preserve">Canonical tie-in references for header, drawings, and cut/bevel/weld steps.
Standard structure: </t>
    </r>
    <r>
      <rPr>
        <b/>
        <sz val="10"/>
        <color rgb="FF263238"/>
        <rFont val="Arial"/>
        <family val="2"/>
      </rPr>
      <t>TP-</t>
    </r>
    <r>
      <rPr>
        <b/>
        <sz val="10"/>
        <color rgb="FFFF0000"/>
        <rFont val="Arial"/>
        <family val="2"/>
      </rPr>
      <t>EWR number</t>
    </r>
    <r>
      <rPr>
        <b/>
        <sz val="10"/>
        <color rgb="FF263238"/>
        <rFont val="Arial"/>
        <family val="2"/>
      </rPr>
      <t>/001 and TP-</t>
    </r>
    <r>
      <rPr>
        <b/>
        <sz val="10"/>
        <color rgb="FFFF0000"/>
        <rFont val="Arial"/>
        <family val="2"/>
      </rPr>
      <t>EWR number</t>
    </r>
    <r>
      <rPr>
        <b/>
        <sz val="10"/>
        <color rgb="FF263238"/>
        <rFont val="Arial"/>
        <family val="2"/>
      </rPr>
      <t>/002</t>
    </r>
  </si>
  <si>
    <t>Direct passthrough into EWO header and drawing reference fields.</t>
  </si>
  <si>
    <t>Missing IDs → assistant asks (cohort-dependent: TLR cohort requires).</t>
  </si>
  <si>
    <t>insulation</t>
  </si>
  <si>
    <t>yes / no</t>
  </si>
  <si>
    <t>Insulation code lives on line list / P&amp;ID, NOT in the line number string — must be explicit.</t>
  </si>
  <si>
    <t>Directly drives 'Remove all cladding and insulation' step inclusion.</t>
  </si>
  <si>
    <t>Engineer omits → assistant asks (no safe default).</t>
  </si>
  <si>
    <t>heat_tracing</t>
  </si>
  <si>
    <t>water / steam / electric / none</t>
  </si>
  <si>
    <t>Same as insulation — not in line number for most lines. Drives isolation procedure differences (TASP I&amp;E for electric, OPS for steam).</t>
  </si>
  <si>
    <t>Directly drives I&amp;E, reinstatement and relevant pre-isolation step.</t>
  </si>
  <si>
    <t>Engineer omits → assistant asks.</t>
  </si>
  <si>
    <t>Pdes / Poper</t>
  </si>
  <si>
    <t>10 / 6 barg</t>
  </si>
  <si>
    <t>Design and operating pressure. Drives hydrotest pressure (per PIM-SU-3541), MAWP checks, flange rating compatibility.</t>
  </si>
  <si>
    <t>Direct values, validated against line class range from PIM-SU-5112.</t>
  </si>
  <si>
    <t>Mismatch with line class rating → assistant flags inconsistency.</t>
  </si>
  <si>
    <t>Tdes / Toper</t>
  </si>
  <si>
    <t>220 / 180 °C</t>
  </si>
  <si>
    <t>Design and operating temperature. Drives PWHT decision (Note 3 conditional), WPS qualification range, hydrogen bake-out triggers and hydrotest pressure.</t>
  </si>
  <si>
    <t>Direct values, validated against line class temp range from PIM-SU-5112.</t>
  </si>
  <si>
    <t>Mismatch with line class temp range → assistant flags.</t>
  </si>
  <si>
    <r>
      <t xml:space="preserve">  ▸  OPTIONAL inputs </t>
    </r>
    <r>
      <rPr>
        <sz val="13"/>
        <color rgb="FF0A7C2D"/>
        <rFont val="Arial"/>
        <family val="2"/>
      </rPr>
      <t>(if avialable beforehand)</t>
    </r>
  </si>
  <si>
    <t>TLR_id</t>
  </si>
  <si>
    <t>TLR-2024-112</t>
  </si>
  <si>
    <t>Required when repair_type involves TLR removal.</t>
  </si>
  <si>
    <t>Missing in TLR cohort → assistant asks.</t>
  </si>
  <si>
    <t>drawing_ref</t>
  </si>
  <si>
    <r>
      <t xml:space="preserve">If engineer already has an L-SK drawing drafted, reference it.
Standard structure: </t>
    </r>
    <r>
      <rPr>
        <b/>
        <sz val="10"/>
        <color rgb="FFFF0000"/>
        <rFont val="Arial"/>
        <family val="2"/>
      </rPr>
      <t>L-SK-00X</t>
    </r>
  </si>
  <si>
    <t>Absent → assistant either generates placeholder or asks.</t>
  </si>
  <si>
    <t>engineer_additions</t>
  </si>
  <si>
    <t>Pattern E free text</t>
  </si>
  <si>
    <t>Custom content the engineer wants added that isn't in the template — FER matrix, named-contact callouts, hydrogen bake-out, multi-TLR IDs.</t>
  </si>
  <si>
    <t>Empty → no Pattern E content added.</t>
  </si>
  <si>
    <t xml:space="preserve">  ▸  Sample prompts:</t>
  </si>
  <si>
    <t>Example 1 — Steam line, simple in-kind section replacement</t>
  </si>
  <si>
    <t>"120-SL04-24-150H03. In-kind pipe section replacement, 4 m between TP-25-0424/001 and TP-25-0424/002. Insulated, no heat tracing. Process conditions: Pdes 10 barg, Poper 6 barg, Tdes 220°C, Toper 180°C."</t>
  </si>
  <si>
    <t>Example 2 — Sour gas line, TLR removal + section replacement</t>
  </si>
  <si>
    <t>"315-GS08-8-150K26. TLR-2024-112 removal with 3 m section replacement downstream. Single tie-in at TP-25-0419/003. Insulated, electric heat tracing. Process conditions: Pdes 28 barg, Poper 22 barg, Tdes 343°C, Toper 280°C."</t>
  </si>
  <si>
    <t>Scope of this harness</t>
  </si>
  <si>
    <t>Phase 1 test set</t>
  </si>
  <si>
    <t>36 EWOs — Low complexity, RiK, no MOC</t>
  </si>
  <si>
    <t>Test scope (current)</t>
  </si>
  <si>
    <t>AI generates: Preliminary Site Work (PSW) + Shop Work sections</t>
  </si>
  <si>
    <t>Test scope (future)</t>
  </si>
  <si>
    <t>Site Work + After Completion</t>
  </si>
  <si>
    <t>Dev / Test</t>
  </si>
  <si>
    <t>~70% dev (visible during prompt iteration) / 30% Test (milestone only)</t>
  </si>
  <si>
    <t>Scoring layers</t>
  </si>
  <si>
    <t>(1) Schema compliance, (2) Citation accuracy, (3) Word similarity, (4) Engineer rating</t>
  </si>
  <si>
    <t>Workbook structure — sheet-by-sheet</t>
  </si>
  <si>
    <t>2. Test Cases</t>
  </si>
  <si>
    <t>Master test set. Collection of EWO readings</t>
  </si>
  <si>
    <t>3. Run Log</t>
  </si>
  <si>
    <t>One row per test RUN (EWO × prompt version × date). Paste AI output here. Multiple runs per EWO supported.</t>
  </si>
  <si>
    <t>4. Scoring</t>
  </si>
  <si>
    <t>Per-run quantitative scoring: word similarity, schema compliance, citation accuracy, coverage. Computed metrics.</t>
  </si>
  <si>
    <t>5. Engineer Scoring</t>
  </si>
  <si>
    <t>Multi-reviewer ratings. Each engineer scores blind (without seeing reference) on 1-5 scale + free text.</t>
  </si>
  <si>
    <t>6. Metrics Definitions</t>
  </si>
  <si>
    <t>How each score is computed. Target thresholds for "MVP ready" decision.</t>
  </si>
  <si>
    <t>7. Summary</t>
  </si>
  <si>
    <t>Aggregate dashboard: pass rate by cohort, by edge case, by run. Updated as scoring is completed.</t>
  </si>
  <si>
    <t>Recommended workflow</t>
  </si>
  <si>
    <t>1. Populate Reference columns on Test Cases sheet — extract verbatim PSW/Shop/Site/After Completion text from each actual signed EWO</t>
  </si>
  <si>
    <t>2. Tag edge cases (some auto-detected from line number; confirm manually). Mark dev/test.</t>
  </si>
  <si>
    <t>3. For each prompt iteration, run AI against test cases. Paste AI output into Run Log sheet (new row per run).</t>
  </si>
  <si>
    <t>4. Compute word similarity, schema, citation, coverage metrics in Scoring sheet.</t>
  </si>
  <si>
    <t>5. Have 2-3 engineers blind-score on Engineer Scoring sheet.</t>
  </si>
  <si>
    <t>6. Review Summary dashboard. If targets met on test set → MVP gate passed. Otherwise iterate prompt and re-run.</t>
  </si>
  <si>
    <t>Meta</t>
  </si>
  <si>
    <t>INPUT original</t>
  </si>
  <si>
    <t>STRATIFICATION &amp; STATUS</t>
  </si>
  <si>
    <t>OUTPUT original</t>
  </si>
  <si>
    <t>Test ID</t>
  </si>
  <si>
    <t>EWO Number</t>
  </si>
  <si>
    <t>Present situation</t>
  </si>
  <si>
    <t>Proposed solution</t>
  </si>
  <si>
    <t>Deducted prompt</t>
  </si>
  <si>
    <t>Line number</t>
  </si>
  <si>
    <t>Execution_team</t>
  </si>
  <si>
    <t>Cohort tag</t>
  </si>
  <si>
    <t>Status</t>
  </si>
  <si>
    <t>Reference PSW (EWO verbatim)</t>
  </si>
  <si>
    <t>Reference Shop Work (verbatim from EWO)</t>
  </si>
  <si>
    <t>Reference Site Work (verbatim — future)</t>
  </si>
  <si>
    <t>Reference After Completion (verbatim — future)</t>
  </si>
  <si>
    <t>Reference spec citations</t>
  </si>
  <si>
    <t>Step count (PSW+Shop)</t>
  </si>
  <si>
    <t>Engineer additions (Pattern E)</t>
  </si>
  <si>
    <t>TC-001</t>
  </si>
  <si>
    <t>EWO 22-0294</t>
  </si>
  <si>
    <t>Leak on low pressure condensate line was fixed by TLR. Repair on-the-run is impossible, this
scope transferred to TA24 scope of work.</t>
  </si>
  <si>
    <t>Dismantle clamp and replace damaged pipe section.</t>
  </si>
  <si>
    <t>051-TL01-1/2-150H03. Dismantle clamp and replace damaged pipe section. Tie-ins at TP-001 and TP-002. Insulated, no heat tracing. Process conditions: Pdes [TBD], Poper [TBD], Tdes [TBD], Toper [TBD].</t>
  </si>
  <si>
    <t>051-TL01-1/2-150H03</t>
  </si>
  <si>
    <t>IMPACT</t>
  </si>
  <si>
    <t>TLR single-removal</t>
  </si>
  <si>
    <t>Dev</t>
  </si>
  <si>
    <t>Pending</t>
  </si>
  <si>
    <t>1. Prior to the start of the mechanical activities, perform wall thickness testing at TP-001 and TP-002 to confirm that wall thickness is adequate for welding. Results shall be reviewed and approved by the Fixed Equipment Reliability (FER) Unit Inspector. NOTE: Perform the wall thickness test by marking out and recording a matrix as directed by the TCO FER Unit Inspector.</t>
  </si>
  <si>
    <t>N/A</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</si>
  <si>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Locked-Out-Tagged-Out (LOTO) as scheduled and agreed between TCO Operations and CONTRACTOR.
3. Remove all cladding and insulation to the extent required.
4. Cold Cut and remove existing piping shown on attached sketch L-SK-001.
5. Bevel cut ends of existing piping at the tie-in points TP-001 and TP-002 for field welding as shown on attached sketch L-SK-001.
6. Inspect the prepared weld bevel ends 100% VT and 100 % MT/PT for defects. NOTE: Perform inspection of weld bevels and nipo-flange landings PRIOR to welding.
7. Install piping as specified on attached sketch L-SK-001. For field welds use TCOapproved WPSs indicated on attached sketch L-SK-001.
8. Perform NDE of field welds, as specified on attached sketch L-SK-001.
9. Perform surface preparation and touch up field welds and any other coating damages in accordance with TES COM-SU-4743-TCO and coating systems per TES COM-SU-5191-TCO.
10. All QM piping passport documentation (A-category Checklists) to be verified and signed by TCO-approved QM Inspector prior to PSSR, but not later than 24 hours after mechanical scope completion.
11. Advise DE T/A Engineer at ext. 3972 about work completion and invite all necessary people to PSSR.
12. Job Pack Coordinator shall submit the completed PIC check-list to Operations department after being signed by Quality Management group. (Form is provided by QM Dept.).
13. Conduct PSSR and close out A-category punch points.
14. Following PSSR reinstate / install insulation and cladding, as per TES IRM-SU-1381-TCO and as specified on attached sketch L-SK-001.
15. Close out all B-category punch points and remove associated scaffolding.
16. Clean up the work area and demobilize from site.</t>
  </si>
  <si>
    <t>1. Perform service test.
2. Final as-built package (including B-category Checklist) shall be submitted to TCO QM group within 2 weeks after completion of the whole scope of works.
3. Return excess material to TCO Warehouse.</t>
  </si>
  <si>
    <t>A-ST-2008 Basic Engineering Data
COM-SU-4743-TCO External Coatings
W-ST-2025 Welding, PWHT &amp; NDE of Piping
IRM-SU-1381-TCO Thermal Insulation for Hot Lines, Vessels and Exchangers
COM-SU-5191-TCO Coating Systems</t>
  </si>
  <si>
    <t>TC-002</t>
  </si>
  <si>
    <t>EWO 22-0430</t>
  </si>
  <si>
    <t>Оn WO 1509851 the leakage was repaired by the TLR method and assigned to TAG 22069. Location - on pipe rack P-1 U400 KTL 1.1 and pipe rack NN.</t>
  </si>
  <si>
    <t>to repair and
dismantle the clamp during TA-2024</t>
  </si>
  <si>
    <t>120-SL04-24-150H03. to repair and dismantle the clamp during TA-2024 Tie-ins at [tie-in IDs TBD]. Insulated, no heat tracing. Process conditions: Pdes [TBD], Poper [TBD], Tdes [TBD], Toper [TBD].</t>
  </si>
  <si>
    <t>1. Perform Wall Thickness Test prior to cutting Pipe. Test Report shall be approved by FER Unit Inspector.</t>
  </si>
  <si>
    <t>1. Withdraw materials required for this Job Pack from TCO Warehouse according to Material Request(s).
2. Prefabricate pipe spool as per L-SK-001.
3. Abrasive blast and coat new piping spool in accordance with TES COM-SU-5191-TCO, 12.1 coating system.</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</si>
  <si>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MPS; fully accessible, safe and Locked-Out-Tagged-Out (LOTO) as scheduled and agreed between TCO Operations and MPS. Operations is responsible to arrange and facilitate alternative Water Source(s) and Temporary Piping/Hoses to and from Technical Water Consumers that would ordinarily have been serviced by the Piping being replaced, and for the period of Work related to this EWO being carried out.
3. Remove all cladding and insulation to the extent required.
4. Remove TLR and cut piping according to sketch L-SK-001. NOTE: Prior to cut, install temporary supports.
5. Bevel cut ends of existing piping at the tie-in point(s) FE22-0430/001, FE22-0430/002 for field welding as shown on sketch L-SK-001.
6. Inspect the prepared weld bevel ends 100% VT and 100 % MT for defects. NOTE: Perform inspection of weld bevels PRIOR to welding.
7. Install piping as specified on sketch L-SK-001. For field welds use TCO-approved WPS indicated on sketch L-SK-001.
8. Perform NDE of field welds, as specified on sketch L-SK-001.
9. Perform surface preparation and touch up field welds and any other coating damages in accordance with TES COM-SU-4743-TCO and coating system(s) per TES COM-SU-5191-TCO specified on sketch L-SK-001.
10. All QM piping passport documentation (A-category Checklists) to be verified and signed by TCO-approved QM Inspector prior to PSSR, but not later than 24 hours after mechanical scope completion.
11. Advise Nazerke Bakhtiyarova/Nauryzbek Medetov, DE TA Engineers at ext. 3972 about work completion and invite all necessary people to PSSR.
12. Perform PSSR and close A category punch points.
13. Following PSSR install insulation and cladding, as per TES IRM-SU-1381-TCO.
14. Close out all B-category punch points and remove associated scaffolding.
15. Clean up work area and demobilize from site.</t>
  </si>
  <si>
    <t>1. Perform service test.
2. Return excess material to TCO Warehouse.</t>
  </si>
  <si>
    <t>A-ST-2008 Basic Engineering Data
PIM-SU-2505-TCO Carbon Steel Piping Fabrication
SI-105 Permit To Work and Hazard Analysis
COM-SU-4743-TCO External Coatings
W-ST-2025 Welding, PWHT &amp; NDE of Piping
IRM-SU-1381-TCO Thermal Insulation for Hot Lines, Vessels and Exchangers</t>
  </si>
  <si>
    <t>TC-003</t>
  </si>
  <si>
    <t>22-0385</t>
  </si>
  <si>
    <t>Leakage was detected under TL line insulation on T1PH-300 USA-11. A temporary TLR was put.</t>
  </si>
  <si>
    <t xml:space="preserve"> 11-0300-PH-300 During 2024TA, TLR-21044 on TL-1/2-150H03 needs to be removed (water leakage on USA-11 condensate tap in PH-300.1) with the subsequent replacement of the line.</t>
  </si>
  <si>
    <t>031-TL40-2-150H03. 11-0300-PH-300 During 2024TA, TLR-21044 on TL-1/2-150H03 needs to be removed (water leakage on USA-11 condensate tap in PH-300. Tie-ins at TP-001/002. Insulated, no heat tracing. Process conditions: Pdes [TBD], Poper [TBD], Tdes [TBD], Toper [TBD].</t>
  </si>
  <si>
    <t>031-TL40-2-150H03</t>
  </si>
  <si>
    <t>RM</t>
  </si>
  <si>
    <t>1. Prior to the start of the mechanical activities, perform wall thickness testing at field welds TP-001/002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field verify all dimensions.</t>
  </si>
  <si>
    <t>1. Withdraw materials required for EWO from Warehouse according to Material Request.
2. Prefabricate pipe spools and pipe supports, as per isometric drawing(s) 011-0300-LLL-ISO-20040-01. Use TCO-approved Welding Procedure Specification(s) (WPSs) indicated on isometric drawing.
3. Perform non-destructive examination (NDE) of shop welds, as specified on isometric drawing 011-0300-LLL-ISO-20040-01.
4. Abrasive blast and coat new piping spools and supports, as specified on isometric drawing 011-0300-LLL-ISO-20040-01 in accordance with TES COM-SU-5191-TCO. NOTE: Mask-off field-weld joints prior to coating.</t>
  </si>
  <si>
    <t>1. Perform relevant job safety assessments (PPHA &amp; JSA) and obtain required Permits-to-Work (PTWs).
2. Demarcate work area as necessary and erect scaffolding. Note: TCO Operations shall isolate, depressurize, drain and ready for Hot Work, Equipment and piping associated with this project, if and as applicable, and shall hand it over to BP, fully accessible, safe, and Locked-Out-Tagged-out as scheduled and agreed between TCO Operations and BP.
3. Remove all cladding and insulation to the extent required.
4. Apply and sign cut-line tape as per TCO SP-26 at TP-001/002.
5. Remove TLR #21044.
6. Cut and remove existing piping as per drawing 011-0300-LLL-ISO-20039-01.
7. Perform VT-100%, MT -100% of weld prep area.
8. Install piping and support as specified on isometric drawing 011-0300-LLL-ISO-20040-01. For field welds use TCO-approved WPSs indicated on isometric drawing(s).
9. Perform NDE of field joint as specified on EWO cover page.
10. Perform service testing of new piping as specified on EWO cover page.
11. Perform surface preparation and touch up field welds and any other coating damages in accordance with TES COM-SU-4743-TCO and coating system per TES COM-SU-5191-TCO.
12. All QM piping passport documentation to be verified and signed by TCO approved QM inspector.
13. Inform Nazerke Bakhtiyarova / Nauryzbek Medetov, DE KTL TA24 Mechanical Coordinator at ext. 3972 about work completion and invite all necessary people to the PSSR.
14. Conduct PSSR and close out A-category punch points.
15. Following PSSR reinstate insulation and cladding, as per TES IRM-SU-1381-TCO and as specified on sketch 011-0300-LLL-ISO-20040-01.
16. Close out all B-category punch points
17. Clean up work area and demobilize from site.</t>
  </si>
  <si>
    <t>A-ST-2008 Basic Engineering Data
PIM-SU-2505-TCO Carbon Steel piping fabrication
SI-105 Permit to work and hazard analysis
PIM-SU-3541-TCO Hydro testing of onshore piping system
PIM-SU-2411-TCO Descaling and Cleaning steel piping
COM-SU-4743-TCO External coating
W-ST-2025 Welding, PWHT and NDE of piping
IRM-SU-1381-TCO Thermal Insulation for Hot lines, Vessels and Exchangers
COM-SU-5191-TCO Coating systems</t>
  </si>
  <si>
    <t>TC-004</t>
  </si>
  <si>
    <t>23-0474</t>
  </si>
  <si>
    <t>It is necessary to replace the line 031-DHC-90-4-150K01 and make a coating repair for:
031-DHC07-4-150K01,
031-DHC101-2-150K02,
031-DHC105-2-150K02,
031-DMD23-4-150K01</t>
  </si>
  <si>
    <t>031-DHC-90-4-150K01,
031-DHC07-4-150K01,
031-DHC101-2-150K02,
031-DHC105-2-150K02,
031-DMD23-4-150K01. It is necessary to replace the line 031-DHC-90-4-150K01 and make a coating repair for: 031-DHC07-4-150K01, 031-DHC101-2-150K02, 031-DHC105-2-150K02, 031-DMD23-4-150K01 Tie-ins at [tie-in IDs TBD]. Insulated, no heat tracing. Process conditions: Pdes [TBD], Poper [TBD], Tdes [TBD], Toper [TBD].</t>
  </si>
  <si>
    <t>031-DHC-90-4-150K01,
031-DHC07-4-150K01,
031-DHC101-2-150K02,
031-DHC105-2-150K02,
031-DMD23-4-150K01</t>
  </si>
  <si>
    <t>Pipe section repl.</t>
  </si>
  <si>
    <t>1. Prior to commencing any fabrication works verify all dimensions, pipe routing and field weld locations on site.</t>
  </si>
  <si>
    <t>1. Withdraw materials required for this Job Pack from TCO Warehouse according to Material Requests.
2. Prefabricate pipe spools and pipe supports, as per isometric drawing 1-300_1-L-5457. Use TCO-approved Welding Procedure Specification(s) (WPSs) indicated on isometric drawing. CONTRACTOR shall comply with TCO Guideline 16-0015-MI for socket-welded joints.
3. Perform post weld heat treatment (PWHT) as specified by WPS and in compliance with TES W-ST-2025.
4. Perform non-destructive examination (NDE) and hardness testing of shop welds, as specified on isometric drawing 1-300_1-L-5457. NOTE: Perform NDE and hardness testing only after PWHT!
5. Perform shop hydrostatic testing of flanged spools as specified on isometric drawing 1-300_1-L-5457 in accordance with TES PIM-SU-3541-TCO.
6. Abrasive blast and coat new piping spools and supports, as specified on isometric drawing 1-300_1-L-5457 in accordance with TES COM-SU-5191-TCO. NOTE: Mask-off field-weld joints and flange faces prior to coating.</t>
  </si>
  <si>
    <t>1. Perform relevant job safety assessments (PPHA &amp; JSA) and obtain required Permits-to-Work (PTWs).
2. Demarcate work area as necessary. NOTE: TCO Operations shall isolate, depressurize, drain and ready for Hot Work, Equipment and Piping associated with this Project, if and as applicable, and shall hand it over to CONTRACTOR; fully accessible, safe and Locked-Out-Tagged-Out (LOTO) as scheduled and agreed between TCO Operations and CONTRACTOR.
3. Carefully dismantle RC covers without damaging neighboring covers and concrete pavement.
4. All sand and debris shall be removed from the trench and disposed of off-site as directed by the TCO Representative.
5. Remove all cladding and insulation to the extent required.</t>
  </si>
  <si>
    <t>1. Carefully remove for reinstatement hot water tracing where necessary. NOTE: CONTRACTOR to match mark and record location prior to cutting and removal to aid in reinstatement of heat tracing.
2. Unbolt and remove existing piping and pipe supports shown on isometric drawing 1-300_1-L-5457.
3. Install piping as specified on isometric drawing 1-300_1-L-5457.
4. Perform surface preparation and touch up field welds and any other coating damages in accordance with TES COM-SU-4743-TCO and coating systems per TES COM-SU-5191-TCO as per scope shown in 1-300_1-L-5457, 1-300_1-L-5453, 1-300_1-L-5458. Use Enviroline 405HT for underground and coating system 12.1 for aboveground lines.
5. Reinstate hot water and conduct NDE as well as service testing of each separate loop.
6. Upon completion of mechanical works the trenches shall be backfilled with dry, clean sand.
7. Install the dismantled RC covers and seal all joints between covers and concrete paving with MasterSeal CR170 polysulfide sealant.
8. All QM piping passport documentation (A-category Checklists) to be verified and signed by TCO-approved QM Inspector prior to PSSR, but not later than 24 hours after mechanical scope completion.
9. Advise Aidyn Zhanbolat/ Karina Ediyeva, DE SGP/SGI Engineer at ext. 7143 about work completion and invite all necessary people to PSSR.
10. Job Pack Coordinator shall submit the completed PIC check-list to Operations department after being signed by Quality Management group. (Form is provided by QM Dept.).
11. Conduct PSSR and close out A-category punch points.
12. Following PSSR reinstate insulation and cladding, as per TES IRM-SU-1381-TCO and as specified on isometric drawing 1-300_1-L-5457.
13. Close out all B-category punch points.
14. Clean up the work area and demobilize from site</t>
  </si>
  <si>
    <t>A-ST-2008 Basic Engineering Data
PIM-SU-2505-TCO Piping Fabrication
SI-105 Permit To Work and Hazard Analysis
PIM-SU-5209-TCO Flange Gaskets and Bolting
PIM-SU-3541-TCO Hydro testing of onshore piping system
PIM-SU-2411-TCO Descaling and Cleaning Steel Piping
COM-SU-4743-TCO External Coatings
W-ST-2025 Welding, PWHT &amp; NDE of Piping
IRM-SU-1381-TCO Thermal Insulation for Hot Lines, Vessels and Exchangers</t>
  </si>
  <si>
    <t>TC-005</t>
  </si>
  <si>
    <t>25-0048</t>
  </si>
  <si>
    <t>Replace section of pipeline 63-9100-TL-2034-3/4"-150H22-HCW5.</t>
  </si>
  <si>
    <t>63-9100-TL-2034-3/4"-150H22-HCW5. Replace section of pipeline 63-9100-TL-2034-3/4"-150H22-HCW5. Tie-ins at TP-002. Insulated, electric heat tracing. Process conditions: Pdes [TBD], Poper [TBD], Tdes [TBD], Toper [TBD].</t>
  </si>
  <si>
    <t>63-9100-TL-2034-3/4"-150H22-HCW5</t>
  </si>
  <si>
    <t>1. Prior to the start of the mechanical activities, perform wall thickness testing at TP-002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locations on site.</t>
  </si>
  <si>
    <t>1. Withdraw materials required for this Job Pack from TCO Warehouse according to Material Requests.
2. Prefabricate pipe spools, as per drawing L-SK-002. Use TCO-approved Welding Procedure Specifications (WPSs) indicated on drawing L-SK-002 or Coversheet.
3. Perform non-destructive examination (NDE), as specified on drawing L-SK-002 or Coversheet.
4. Abrasive blast and coat new piping spools, as specified on drawing L-SK-002 or Coversheet in accordance with TES COM-SU-5191-TCO.</t>
  </si>
  <si>
    <t>1. Perform relevant job safety assessments (PPHA &amp; JSA) and obtain required Permits-to-Work (PTWs).
2. Demarcate work area as necessary and erect scaffolding for access.
3. Remove all cladding and insulation to the extent required.
4. Apply and sign cut-line tape as per SP-26 at TP-002.
5. Arrange with TASP I&amp;E Coordinator to isolate, LOTO and remove electric trace heating.
6. Cut, unbolt and remove existing piping shown on "Destruct Detail" of drawing L-SK-001.
7. Bevel cut end of existing piping at the tie-in point TP-002 for field welding as shown on drawing L-SK-002.
8. Inspect the prepared weld bevel ends 100% VT and 100% MT/PT for defects.
9. Install piping as specified on drawing L-SK-002. For field welds use TCO-approved WPSs indicated on drawing L-SK-002 or coversheet.
10. Perform NDE of field welds, as specified on drawing L-SK-002.
11. Perform surface preparation and touch up field welds and any other coating damages in accordance with TES COM-SU-4743-TCO and coating system(s) per TES COM-SU-5191-TCO specified on drawings.
12. Arrange with TASP I&amp;E Coordinator to reinstate / install related electric trace heating.
13. All QM piping passport documentation (A-category Checklists) to be verified and signed by TCO-approved QM Inspector prior to PSSR, but not later than 24 hours after mechanical scope completion.
14. Advise DE TA26 Coordinators Rauan Mursal / Nurbolat Ramazanov at radio channel #25 about work completion and invite all necessary people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drawing L-SK-002 or coversheet.
18. Close out all B-category punch points and remove associated scaffolding.
19. Clean up the work area and demobilize from site.</t>
  </si>
  <si>
    <t>A-ST-2008 Basic Engineering Data
PIM-SU-2505-TCO Piping Fabrication
SI-105 Permit To Work and Hazard Analysis
PIM-SU-3541-TCO Hydro testing of onshore piping system
COM-SU-4743-TCO External Coatings
W-ST-2025 Welding, PWHT &amp; NDE of Piping
IRM-SU-1381-TCO Thermal Insulation for Hot Lines, Vessels and Exchangers
COM-SU-5191-TCO External Coatings
SP-26 Line Cutting
PIM-SU-5209-TCO Flange Gaskets and Bolting</t>
  </si>
  <si>
    <t>TC-006</t>
  </si>
  <si>
    <t>25-0046</t>
  </si>
  <si>
    <t>TLR#22201/22202/22203/22204/23002 will be removed and section of line
63-1000-SL-2153-3/4”-150H22-HCW5 will be replaced in-kind.</t>
  </si>
  <si>
    <t>63-9100-SL-2153-3/4"-150H22-HCW5. TLR#22201/22202/22203/22204/23002 will be removed and section of line 63-1000-SL-2153-3/4”-150H22-HCW5 will be replaced in-kind. Tie-ins at TP-002. Insulated, electric heat tracing. Process conditions: Pdes [TBD], Poper [TBD], Tdes [TBD], Toper [TBD].</t>
  </si>
  <si>
    <t>63-9100-SL-2153-3/4"-150H22-HCW5</t>
  </si>
  <si>
    <t>1. Prior to commencing any fabrication works verify dimensions, pipe routing and field weld location on site.</t>
  </si>
  <si>
    <t>1. Withdraw materials required for this Job Pack from TCO Warehouse according to Material Requests.
2. Prefabricate pipe spools and pipe supports, as per drawing L-SK-002. Use TCO-approved Welding Procedure Specifications (WPSs) indicated on drawing L-SK-002 or coversheet.
3. Perform non-destructive examination (NDE), as specified on drawing L-SK-002 or coversheet.
4. Abrasive blast and coat new piping spools and pipe supports, as specified on drawing L-SK-002 or coversheet in accordance with TES COM-SU-5191-TCO.</t>
  </si>
  <si>
    <t>1. Perform relevant job safety assessments (PPHA &amp; JSA) and obtain required Permits-to-Work (PTWs).
2. Demarcate work area as necessary and erect scaffolding for access.
3. Remove all cladding and insulation to the extent required.
4. Apply and sign cut-line tape as per SP-26 at TP-002.
5. Arrange with TASP I&amp;E Coordinator to isolate, LOTO and remove electric trace heating.
6. Carefully grind out the existing socket weld at TP-002 for rewelding new 1 ½” pipe spool shown on "Destruct Detail" of drawing L-SK-001.
7. Unbolt and remove existing piping and pipe supports shown on "Destruct Detail" of drawing L-SK-001.
8. Install piping and pipe supports as specified on drawing L-SK-002. For field welds use TCO-approved WPSs indicated on drawing L-SK-002 or coversheet.
9. Perform NDE of field weld, as specified on drawing L-SK-002 or coversheet.
10. Perform surface preparation and touch up field welds and any other coating damages in accordance with TES COM-SU-4743-TCO and coating system(s) per TES COM-SU-5191-TCO specified on drawings.
11. Arrange with TASP I&amp;E Coordinator to reinstate / install related electric trace heating.
12. All QM piping passport documentation (A-category Checklists) to be verified and signed by TCO-approved QM Inspector prior to PSSR, but not later than 24 hours after mechanical scope completion.
13. Advise DE TA26 Coordinators Rauan Mursal / Nurbolat Ramazanov at radio channel #25, about work completion and invite all necessary people to PSSR.
14. Job Pack Coordinator shall submit the completed PIC check-list to Operations department after being signed by Quality Management group.
15. Conduct PSSR and close out A-category punch points.
16. Following PSSR reinstate / install insulation and cladding, as per TES IRM-SU-1381-TCO and as specified on drawing L-SK-002 or coversheet.
17. Close out all B-category punch points and remove associated scaffolding.
18. Clean up the work area and demobilize from site.</t>
  </si>
  <si>
    <t>A-ST-2008 Basic Engineering Data
PIM-SU-2505-TCO Piping Fabrication
SI-105 Permit To Work and Hazard Analysis
COM-SU-4743-TCO External Coatings
W-ST-2025 Welding, PWHT &amp; NDE of Piping
IRM-SU-1381-TCO Thermal Insulation for Hot Lines, Vessels and Exchangers
COM-SU-5191-TCO External Coatings
SP-26 Line Cutting
PIM-SU-5209-TCO Flange Gaskets and Bolting
16-0015-MI TCO socket welding guideline for process piping</t>
  </si>
  <si>
    <t>TC-007</t>
  </si>
  <si>
    <t>25-0047</t>
  </si>
  <si>
    <t>It is required to extend the vent pipe to ensure no condensate drops on the carcase of the vessel
therefore causing corrosion under the insulation.</t>
  </si>
  <si>
    <t>63-9100-BV-1326-12''-150H22-NI. It is required to extend the vent pipe to ensure no condensate drops on the carcase of the vessel therefore causing corrosion under the insulation. Tie-ins at [tie-in IDs TBD]. Uninsulated, no heat tracing. Process conditions: Pdes [TBD], Poper [TBD], Tdes [TBD], Toper [TBD].</t>
  </si>
  <si>
    <t>63-9100-BV-1326-12''-150H22-NI</t>
  </si>
  <si>
    <t>Pipe extension</t>
  </si>
  <si>
    <t>1. Prior to commencing any fabrication works verify dimensions, pipe routing and field weld locations on site.</t>
  </si>
  <si>
    <t>1. Perform relevant job safety assessments (PPHA &amp; JSA) and obtain required Permits-to-Work (PTWs).
2. Demarcate work area as necessary and erect scaffolding for access.
3. Unbolt and modify existing piping shown on drawing L-SK-001.
4. Install piping as specified on drawing L-SK-001. For field welds use TCO-approved WPSs indicated on drawing L-SK-001 or coversheet.
5. Perform surface preparation and touch up field welds and any other coating damages in accordance with TES COM-SU-4743-TCO and coating system(s) per TES COM-SU-5191-TCO specified on drawings.
6. All QM piping passport documentation (A-category Checklists) to be verified and signed by TCO-approved QM Inspector prior to PSSR, but not later than 24 hours after mechanical scope completion.
7. Advise DE TA26 Coordinators Rauan Mursal / Nurbolat Ramazanov at radio channel #25, about work completion and invite all necessary people to PSSR.
8. Job Pack Coordinator shall submit the completed PIC check-list to Operations department after being signed by Quality Management group.
9. Conduct PSSR and close out A-category punch points.
10. Close out all B-category punch points and remove associated scaffolding.
11. Clean up the work area and demobilize from site.</t>
  </si>
  <si>
    <t>1. Final as-built package (including B-category Checklist) shall be submitted to TCO QM group within 2 weeks after completion of the whole scope of works.
2. Return excess material to TCO Warehouse.</t>
  </si>
  <si>
    <t>A-ST-2008 Basic Engineering Data
PIM-SU-2505-TCO Piping Fabrication
SI-105 Permit To Work and Hazard Analysis
COM-SU-4743-TCO External Coatings
W-ST-2025 Welding, PWHT &amp; NDE of Piping</t>
  </si>
  <si>
    <t>TC-008</t>
  </si>
  <si>
    <t>25-0049</t>
  </si>
  <si>
    <t>Replace section of pipeline 63-9100-TL-2003-3/4"-150H22-HCW5.</t>
  </si>
  <si>
    <t>63-9100-TL-2003-3/4"-150H22-HCW5. Replace section of pipeline 63-9100-TL-2003-3/4"-150H22-HCW5. Tie-ins at TP-002. Insulated, electric heat tracing. Process conditions: Pdes [TBD], Poper [TBD], Tdes [TBD], Toper [TBD].</t>
  </si>
  <si>
    <t>63-9100-TL-2003-3/4"-150H22-HCW5</t>
  </si>
  <si>
    <t>Flange replacement</t>
  </si>
  <si>
    <t>1. Withdraw materials required for this Job Pack from TCO Warehouse according to Material Requests.
2. Prefabricate pipe spools, as per drawing L-SK-002. Use TCO-approved Welding Procedure Specification (WPSs) indicated on drawing L-SK-002 or coversheet.
3. Perform non-destructive examination (NDE), as specified on drawing L-SK-002 or coversheet.
4. Abrasive blast and coat new piping spools, as specified on drawing L-SK-002 or coversheet in accordance with TES COM-SU-5191-TCO.</t>
  </si>
  <si>
    <t>1. Perform relevant job safety assessments (PPHA &amp; JSA) and obtain required Permits-to-Work (PTWs).
2. Demarcate work area as necessary and erect scaffolding for access.
3. Remove all cladding and insulation to the extent required.
4. Apply and sign cut-line tape as per SP-26 at TP-002.
5. Arrange with TASP I&amp;E Coordinator to isolate, LOTO and remove electric trace heating.
6. Cut and remove existing piping shown on "Destruct Detail" of drawing L-SK-001.
7. Install piping as specified on drawing L-SK-002. For field welds use TCO-approved WPSs indicated on drawing L-SK-002 or coversheet.
8. Perform NDE of field welds, as specified on drawing L-SK-002.
9. Perform surface preparation and touch up field welds and any other coating damages in accordance with TES COM-SU-4743-TCO and coating system(s) per TES COM-SU-5191-TCO specified on drawings.
10. Arrange with TASP I&amp;E Coordinator to reinstate / install related electric trace heating.
11. All QM piping passport documentation (A-category Checklists) to be verified and signed by TCO-approved QM Inspector prior to PSSR, but not later than 24 hours after mechanical scope completion.
12. Advise DE TA26 Coordinators Rauan Mursal / Nurbolat Ramazanov at radio channel #25, about work completion and invite all necessary people to PSSR.
13. Job Pack Coordinator shall submit the completed PIC check-list to Operations department after being signed by Quality Management group.
14. Conduct PSSR and close out A-category punch points.
15. Following PSSR reinstate / install insulation and cladding, as per TES IRM-SU-1381-TCO and as specified on drawing L-SK-002 or coversheet.
16. Close out all B-category punch points and remove associated scaffolding.
17. Clean up the work area and demobilize from site.</t>
  </si>
  <si>
    <t>A-ST-2008 Basic Engineering Data
PIM-SU-2505-TCO Piping Fabrication
SI-105 Permit To Work and Hazard Analysis
PIM-SU-3541-TCO Hydro testing of onshore piping system
COM-SU-4743-TCO External Coatings
W-ST-2025 Welding, PWHT &amp; NDE of Piping
IRM-SU-1381-TCO Thermal Insulation for Hot Lines, Vessels and Exchangers
COM-SU-5191-TCO External Coatings
SP-26 Line Cutting
PIM-SU-5209-TCO Flange Gaskets and Bolting
16-0015-MI Socket-welded joints</t>
  </si>
  <si>
    <t>TC-009</t>
  </si>
  <si>
    <t>25-0050</t>
  </si>
  <si>
    <t>Replace section of pipeline 63-9100-TL-2018-1 1/2"-150H22-HCW5.</t>
  </si>
  <si>
    <t>63-9100-TL-2018-1 1/2"-150H22-HCW5. Replace section of pipeline 63-9100-TL-2018-1 1/2"-150H22-HCW5. Tie-ins at TP-001/002/003/004 and TP-005. Insulated, electric heat tracing. Process conditions: Pdes [TBD], Poper [TBD], Tdes [TBD], Toper [TBD].</t>
  </si>
  <si>
    <t>63-9100-TL-2018-1 1/2"-150H22-HCW5</t>
  </si>
  <si>
    <t>1. Prior to the start of the mechanical activities, perform wall thickness testing at TP-001/002/003/004 and TP-005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 on site.</t>
  </si>
  <si>
    <t>1. Withdraw materials required for this Job Pack from TCO Warehouse according to Material Requests.
2. Prefabricate pipe spools, as per drawings L-SK-1702-001 and L-SK-1702-002. Use TCO-approved Welding Procedure Specification (WPSs) indicated on drawings L-SK-1702-001 and L-SK-1702-002 or coversheet.
3. Perform non-destructive examination (NDE), as specified on drawings L-SK-1702-001 and L-SK-1702-002 or coversheet.
4. Abrasive blast and coat new piping spools, as specified on drawings L-SK-1702-001 and L-SK-1702-002 or coversheet in accordance with TES COM-SU-5191-TCO.</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</si>
  <si>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 Out Tagged Out (LOTO) as scheduled and agreed between TCO Operations and CONTRACTOR.
3. Remove all cladding and insulation to the extent required.
4. Apply and sign cut-line tape as per SP-26 at TP-001/002/003/004 and TP-005.
5. Cut and remove existing piping shown on "Destruct Detail" of drawings L-SK-1702-001D and L-SK-1702-002D.
6. Bevel cut ends of existing piping at the tie-in points TP-001/002/003/004 and TP-005 for field welding as shown on isometric drawings L-SK-1702-001D and L-SK-1702-002D.
7. Inspect the prepared weld bevels 100% VT and 100% MT/PT for defects.
8. Install piping as specified on drawings L-SK-1702-001 and L-SK-1702-002. For field welds use TCO-approved WPSs indicated on drawings L-SK-1702-001 and L-SK-1702-002 or coversheet.
9. Perform NDE of field welds, as specified on drawing L-SK-1702-001 and L-SK-1702-002 or coversheet.
10. Perform surface preparation and touch up field welds and any other coating damages in accordance with TES COM-SU-4743-TCO and coating system(s) per TES COM-SU-5191-TCO specified on drawings.
11. All QM piping passport documentation (A-category Checklists) to be verified and signed by TCO-approved QM Inspector prior to PSSR, but not later than 24 hours after mechanical scope completion.
12. Advise DE TA26 Coordinators Rauan Mursal / Nurbolat Ramazanov at radio channel #25, about work completion and invite all necessary people to PSSR.
13. Job Pack Coordinator shall submit the completed PIC check-list to Operations department after being signed by Quality Management group. (Form is provided by QM Dept.).
14. Conduct PSSR and close out A-category punch points.
15. Following PSSR reinstate / install insulation and cladding, as per TES IRM-SU-1381-TCO and as specified on drawings L-SK-1702-001 and L-SK-1702-002 or coversheet. Leave welds uninsulated for checking them during service test.
16. Close out all B-category punch points and remove associated scaffolding.
17. Clean up the work area and demobilize from site.</t>
  </si>
  <si>
    <t>A-ST-2008 Basic Engineering Data
PIM-SU-2505-TCO Piping Fabrication
SI-105 Permit To Work and Hazard Analysis
COM-SU-4743-TCO External Coatings
W-ST-2025 Welding, PWHT &amp; NDE of Piping
IRM-SU-1381-TCO Thermal Insulation for Hot Lines, Vessels and Exchangers</t>
  </si>
  <si>
    <t>TC-010</t>
  </si>
  <si>
    <t>23-0060</t>
  </si>
  <si>
    <t>It is required to replace pipe sections of line 63-9100-SL-1702-1-1/2"-150H22-HC due to revealed
leakage. Currently temporary TLR's 21187 &amp; 23165 have been installed.</t>
  </si>
  <si>
    <t>63-9100-SL-1702-1-1/2"-150H22-HC. It is required to replace pipe sections of line 63-9100-SL-1702-1-1/2"-150H22-HC due to revealed leakage. Tie-ins at TP-001. Insulated, electric heat tracing. Process conditions: Pdes [TBD], Poper [TBD], Tdes [TBD], Toper [TBD].</t>
  </si>
  <si>
    <t>63-9100-SL-1702-1-1/2"-150H22-HC</t>
  </si>
  <si>
    <t>TLR multi-removal</t>
  </si>
  <si>
    <t>1. Prior to the start of the mechanical activities, perform wall thickness testing at TP-001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 on site.</t>
  </si>
  <si>
    <t>1. Withdraw materials required for this Job Pack from TCO Warehouse according to Material Requests.</t>
  </si>
  <si>
    <t>1. Perform relevant job safety assessments (PPHA &amp; JSA) and obtain required Permits-to-Work (PTWs).
2. Demarcate work area as necessary. NOTE: TCO Operations shall isolate, depressurize, drain and ready for Hot Work, Equipment and Piping associated with this Project, if and as applicable, and shall hand it over to CONTRACTOR; fully accessible, safe and Locked Out Tagged Out (LOTO) as scheduled and agreed between TCO Operations and CONTRACTOR.
3. Remove all cladding and insulation to the extent required.
4. Apply and sign cut-line tape as per SP-26 at TP-001.
5. Arrange with Zone Maintenance to isolate, LOTO and remove electric trace heating from associated piping. NOTE: CONTRACTOR to call a unit Operator, show the mark, and record location prior to cutting and removal to aid in reinstatement of heat tracing.
6. INVITE FER INSPECTOR TO CHECK THE FLANGE AND VALVE FACE, GASKET, BOLTS CONDITION AND DECIDE FURTHER REPAIR ACTIVITIES EITHER REPACKING OF THE FLANGE JOINT OR FOLLOW THE INSTRUCTIONS MENTIONED IN THIS EWO
7. Cut/unbolt and remove existing flange shown on “Destruct Detail” of drawing L-SK-001.
8. Bevel cut end of existing piping at the tie-in point(s) TP-001 for field welding as shown on sketch L-SK-001.
9. Inspect the prepared weld bevel end 100% VT and 100% MT/PT for defects.
10. Install weld neck flange as specified on drawing L-SK-002. For field welds use TCO-approved WPSs indicated on drawing L-SK-002 or coversheet.
11. Perform NDE of field weld, as specified on drawing L-SK-002.
12. Perform field hydrostatic testing of new weld neck flange as specified on sketch L-SK-002 in accordance with TES PIM-SU-3541-TCO.
13. Arrange with Zone Maintenance to reinstate / install related electric trace heating.
14. All QM piping passport documentation (A-category Checklists) to be verified and signed by TCO-approved QM Inspector prior to PSSR, but not later than 24 hours after mechanical scope completion.
15. Advise DE TA26 Coordinators Rauan Mursal / Nurbolat Ramazanov at radio channel #25, about work completion and invite all necessary people to PSSR.
16. Job Pack Coordinator shall submit the completed PIC check-list to Operations department after being signed by Quality Management group.
17. Conduct PSSR and close out A-category punch points.
18. Following PSSR reinstate / install insulation and cladding, as per TES IRM-SU-1381-TCO and as specified on drawing L-SK-002 or coversheet.
19. Close out all B-category punch points.
20. Clean up the work area and demobilize from site.</t>
  </si>
  <si>
    <t>A-ST-2008 Basic Engineering Data
PIM-SU-2505-TCO Piping Fabrication
SI-105 Permit To Work and Hazard Analysis
PIM-SU-3541-TCO Hydro testing of onshore piping system
W-ST-2025 Welding, PWHT &amp; NDE of Piping
IRM-SU-1381-TCO Thermal Insulation for Hot Lines, Vessels and Exchangers
SP-26 Line Cutting
PIM-SU-5209-TCO Flange Gaskets and Bolting</t>
  </si>
  <si>
    <t>TC-011</t>
  </si>
  <si>
    <t>25-0068</t>
  </si>
  <si>
    <t>Replacement of the leaking flange on the line # 63-9100-SH-1049-3/4''-900H22-HC</t>
  </si>
  <si>
    <t>63-9100-SH-1049-3/4''-900H22-HC. Replacement of the leaking flange on the line # 63-9100-SH-1049-3/4''-900H22-HC Tie-ins at TP-001. Insulated, electric heat tracing. Process conditions: Pdes [TBD], Poper [TBD], Tdes [TBD], Toper [TBD].</t>
  </si>
  <si>
    <t>63-9100-SH-1049-3/4''-900H22-HC</t>
  </si>
  <si>
    <t>1. Prior to the start of the mechanical activities, perform wall thickness testing at TP-001, TP-002 and TP-003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 on site.</t>
  </si>
  <si>
    <t>TC-012</t>
  </si>
  <si>
    <t>25-0071</t>
  </si>
  <si>
    <t>Replace the section of line 63-9100-TL-1089-2"-150H22-HCW5 currently fitted with a clamp.
This line is classified as Category D service in accordance with ASME B31.3.</t>
  </si>
  <si>
    <t>63-9100-TL-1089-2"-150H22-HCW5. Replace the section of line 63-9100-TL-1089-2"-150H22-HCW5 currently fitted with a clamp. Tie-ins at TP-001 and TP-002 and TP-003. Insulated, electric heat tracing. Process conditions: Pdes [TBD], Poper [TBD], Tdes [TBD], Toper [TBD].</t>
  </si>
  <si>
    <t>63-9100-TL-1089-2"-150H22-HCW5</t>
  </si>
  <si>
    <t>1. Withdraw materials required for this Job Pack from TCO Warehouse according to Material Requests.
2. Prefabricate pipe spools and pipe supports, as per drawings L-SK-003 and L-SK-004. Use TCO-approved Welding Procedure Specifications (WPSs) indicated on drawings L-SK-003 and L-SK-004 or coversheet.
3. Perform non-destructive examination (NDE), as specified on drawings L-SK-003 and L-SK-004 or coversheet.
4. Abrasive blast and coat new piping spools and pipe supports, as specified on drawings L-SK-003 and L-SK-004 or coversheet in accordance with TES COM-SU-4743-TCO and TES COM-SU-5191-TCO.</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</si>
  <si>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CONTRACTOR; fully accessible, safe and Locked Out Tagged Out (LOTO) as scheduled and agreed.
3. Remove all cladding and insulation to the extent required.
4. Apply and sign cut-line tape as per SP-26 at TP-001, TP-002 and TP-003.
5. Arrange with TASP I&amp;E Coordinator to isolate, LOTO and remove electric trace heating.
6. Cut and remove existing piping and pipe supports shown on “Destruct Detail” of drawings L-SK-001 and L-SK-002.
7. Bevel cut end of existing piping at the tie-in points TP-001, TP-002 and TP-003 for field welding as shown on drawings L-SK-001 and L-SK-002.
8. Inspect the prepared weld bevel end 100% VT and 100% MT/PT for defects.
9. Install piping as specified on drawings L-SK-003 and L-SK-004. For field welds use TCO-approved WPSs indicated on drawings L-SK-003 and L-SK-004 or coversheet.
10. Perform NDE of field welds, as specified on drawings L-SK-003 and L-SK-004 or coversheet.
11. Perform surface preparation and touch up field welds and any other coating damages in accordance with TES COM-SU-4743-TCO and coating system(s) per TES COM-SU-5191-TCO specified on drawings.
12. Arrange with TASP I&amp;E Coordinator to reinstate / install related electric trace heating.
13. All QM piping passport documentation (A-category Checklists) to be verified and signed by TCO-approved QM Inspector prior to PSSR, but not later than 24 hours after mechanical scope completion.
14. Advise DE TA26 Coordinators Rauan Mursal / Nurbolat Ramazanov at radio channel #25, about work completion and invite all necessary people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drawings L-SK-003 and L-SK-004 or coversheet.
18. Close out all B-category punch points and remove associated scaffolding.
19. Clean up the work area and demobilize from site.</t>
  </si>
  <si>
    <t>A-ST-2008 Basic Engineering Data
PIM-SU-2505-TCO Piping Fabrication
SI-105 Permit To Work and Hazard Analysis
COM-SU-4743-TCO External Coatings
W-ST-2025 Welding, PWHT &amp; NDE of Piping
IRM-SU-1381-TCO Thermal Insulation for Hot Lines, Vessels and Exchangers
COM-SU-5191-TCO External Coatings
SP-26 Line Cutting
PIM-SU-5209-TCO Flange Gaskets and Bolting</t>
  </si>
  <si>
    <t>TC-013</t>
  </si>
  <si>
    <t>25-0072</t>
  </si>
  <si>
    <t>There is leak in the pipe section 63-9100-TL-1992-1 ½ -150H22-HCW5. TLR was installed WO
1722132 TAG 23150.</t>
  </si>
  <si>
    <t>Replace damaged section of 63-9100-TL-1992-1 ½ -150H22-HCW5 line due to leak.</t>
  </si>
  <si>
    <t>63-9100-TL-1992-1½"-150H22-HCW5. Replace damaged section of 63-9100-TL-1992-1 ½ -150H22-HCW5 line due to leak. Tie-ins at [tie-in IDs TBD]. Insulated, electric heat tracing. Process conditions: Pdes [TBD], Poper [TBD], Tdes [TBD], Toper [TBD].</t>
  </si>
  <si>
    <t>63-9100-TL-1992-1½"-150H22-HCW5</t>
  </si>
  <si>
    <t>1. Withdraw materials required for this Job Pack from TCO Warehouse according to Material Request(s).
2. Prefabricate pipe spools and pipe supports, as per isometric drawing 062-0200-LLL-ISO-20483-01. Use TCO-approved Welding Procedure Specifications (WPSs) indicated on the isometric drawing.
3. Perform non-destructive examination (NDE) of shop welds, as specified on isometric drawing 062-0200-LLL-ISO-20483-01.</t>
  </si>
  <si>
    <t>1. Perform relevant job safety assessments (PPHA &amp; JSA) and obtain required Permits-to-Work (PTWs).
2. Demarcate work area as necessary. NOTE: TCO Operations shall isolate, depressurize, drain and prepare equipment and piping for hot work and hand over to CONTRACTOR in safe LOTO condition.
3. Remove all cladding and insulation as required.
4. Arrange with Zone Maintenance to isolate, LOTO and remove electric trace heating and instruments. NOTE: Contractor shall mark and record locations prior to removal for reinstatement.
5. Install temporary supports.
6. Cut, unbolt and remove existing piping and supports shown on “Destruct Detail” of isometric drawing 062-0200-LLL-ISO-20482-01.
7. Install piping as specified on isometric drawing 062-0200-LLL-ISO-20483-01. Use TCO-approved WPSs for field welding.
8. Perform NDE of field welds, as specified on drawing 062-0200-LLL-ISO-20482-01.
9. Perform surface preparation and touch up field welds and coating damages in accordance with TES COM-SU-4743-TCO and COM-SU-5191-TCO.
10. Arrange with Zone Maintenance to reinstate electric trace heating and instruments.
11. All QM piping passport documentation (A-category Checklists) shall be verified and signed by TCO-approved QM Inspector prior to PSSR (within 24 hours after mechanical completion).
12. Advise DE TA26 coordinators Rauan Mursal / Nurbolat Ramazanov about work completion and invite to PSSR.
13. Submit completed PIC checklist to Operations after QM approval.
14. Conduct PSSR and close A-category punch points.
15. Reinstate insulation and cladding as per TES IRM-SU-1381-TCO and drawings.
16. Close all B-category punch points and remove scaffolding.
17. Clean up the work area and demobilize.</t>
  </si>
  <si>
    <t>1. Perform service test.
2. Submit final as-built package (including B-category Checklist) to TCO QM group within 2 weeks after completion.
3. Return excess material to TCO Warehouse.</t>
  </si>
  <si>
    <t>A-ST-2008 Basic Engineering Data
SI-105 Permit to Work and Hazard Analysis
W-ST-2025 Welding, PWHT and NDE of Piping
PIM-SU-2505-TCO Carbon Steel Piping Fabrication
IRM-SU-1381-TCO Thermal Insulation for Hot Lines</t>
  </si>
  <si>
    <t>TC-014</t>
  </si>
  <si>
    <t>25-0073</t>
  </si>
  <si>
    <t>There is leak in the pipe section 63-9100-TL-1085-6"-150H22-HCW5. TLR was installed TAG 2
23154.</t>
  </si>
  <si>
    <t>Replace damaged section of 63-9100-TL-1085-6"-150H22-HCW5 line due to leak.</t>
  </si>
  <si>
    <t>63-9100-TL-1085-6"-150H22-HCW5. Replace damaged section of 63-9100-TL-1085-6"-150H22-HCW5 line due to leak. Tie-ins at [tie-in IDs TBD]. Insulated, electric heat tracing. Process conditions: Pdes [TBD], Poper [TBD], Tdes [TBD], Toper [TBD].</t>
  </si>
  <si>
    <t>63-9100-TL-1085-6"-150H22-HCW5</t>
  </si>
  <si>
    <t>1. Withdraw materials required for this Job Pack from TCO Warehouse according to Material Request(s).
2. Prefabricate pipe spools, as per isometric drawings 063-9100-LLL-ISO-20068-01 and 063-9100-LLL-ISO-20069-01. Use TCO-approved Welding Procedure Specifications (WPSs) indicated on the isometric drawings.
3. Perform non-destructive examination (NDE) of shop welds, as specified on isometric drawings 063-9100-LLL-ISO-20068-01 and 063-9100-LLL-ISO-20069-01.</t>
  </si>
  <si>
    <t>1. Perform relevant job safety assessments (PPHA &amp; JSA) and obtain required Permits-to-Work (PTWs).
2. Demarcate work area as necessary. NOTE: TCO Operations shall isolate, depressurize, drain and prepare equipment and piping for hot work and hand it over to Contractor in a safe LOTO condition.
3. Remove all cladding and insulation to the extent required.
4. Arrange with Zone Maintenance to isolate, LOTO and remove electric trace heating and instruments from associated piping. NOTE: Contractor shall match mark and record locations prior to removal for proper reinstatement.
5. Cut, unbolt and remove existing piping shown on “Destruct Detail” of isometric drawings 063-9100-LLL-ISO-20068-01.
6. Install piping as specified on isometric drawings 063-9100-LLL-ISO-20068-01 and 063-9100-LLL-ISO-20069-01. Use TCO-approved WPSs for field welding.
7. Perform NDE of field welds, as specified on the isometric drawings.
8. Perform surface preparation and touch up field welds and any coating damages in accordance with TES COM-SU-4743-TCO and coating system(s) per TES COM-SU-5191-TCO.
9. Arrange with Zone Maintenance to reinstate/install electric trace heating and instruments.
10. All QM piping passport documentation (A-category Checklists) shall be verified and signed by TCO-approved QM Inspector prior to PSSR (within 24 hours after mechanical completion).
11. Advise DE TA26 Coordinators Rauan Mursal / Nurbolat Ramazanov about work completion and invite required personnel to PSSR.
12. Submit completed PIC check-list to Operations after QM approval.
13. Conduct PSSR and close A-category punch points.
14. Reinstate insulation and cladding as per TES IRM-SU-1381-TCO and drawings.
15. Close all B-category punch points and remove scaffolding.
16. Clean up the work area and demobilize from site.</t>
  </si>
  <si>
    <t>TC-015</t>
  </si>
  <si>
    <t>25-0078</t>
  </si>
  <si>
    <t>It is required to replace the line # 63-9100-SL-1333-3/4''-150H22-HCW5 with TLR #20210.</t>
  </si>
  <si>
    <t>63-9100-SL-1333-3/4''-150H22-HCW5. It is required to replace the line # 63-9100-SL-1333-3/4''-150H22-HCW5 with TLR #20210. Tie-ins at TP-001. Insulated, electric heat tracing. Process conditions: Pdes [TBD], Poper [TBD], Tdes [TBD], Toper [TBD].</t>
  </si>
  <si>
    <t>63-9100-SL-1333-3/4''-150H22-HCW5</t>
  </si>
  <si>
    <t>1. Withdraw materials required for this Job Pack from TCO Warehouse according to Material Requests.
2. Prefabricate pipe spool, as per drawing L-SK-001. Use TCO-approved Welding Procedure Specifications (WPSs) indicated on drawing L-SK-001 or coversheet.
3. Perform non-destructive examination (NDE), as specified on drawing L-SK-001 or coversheet.
4. Abrasive blast and coat new piping spools, as specified on drawing L-SK-001 or coversheet in accordance with TES COM-SU-5191-TCO.</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</si>
  <si>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as scheduled and agreed.
3. Remove all cladding and insulation to the extent required.
4. Apply and sign cut-line tape as per SP-26 at TP-001.
5. Arrange with TASP I&amp;E Coordinator to isolate, LOTO and remove electric trace heating.
6. Cut/unbolt and remove existing piping and piping supports shown on drawing L-SK-001.
7. Bevel cut end of existing piping at the tie-in point TP-001 for field welding as shown on drawing L-SK-001.
8. Inspect the prepared weld bevel end 100% VT and 100% MT/PT for defects.
9. Install piping and piping supports as specified on drawing L-SK-001. For field welds use TCO-approved WPSs indicated on drawing L-SK-001 or coversheet.
10. Perform NDE of field welds, as specified on drawing L-SK-001 or coversheet.
11. Perform surface preparation and touch up field welds and any other coating damages in accordance with TES COM-SU-4743-TCO and coating system(s) per TES COM-SU-5191-TCO specified on drawings.
12. Arrange with TASP I&amp;E Coordinator to reinstate / install related electric trace heating.
13. All QM piping passport documentation (A-category Checklists) to be verified and signed by TCO-approved QM Inspector prior to PSSR, but not later than 24 hours after mechanical scope completion.
14. Advise DE TA26 Coordinators Rauan Mursal / Nurbolat Ramazanov at radio channel #25 about work completion and invite all necessary people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drawing L-SK-001 or coversheet.
18. Close out all B-category punch points and remove associated scaffolding.
19. Clean up the work area and demobilize from site.</t>
  </si>
  <si>
    <t>TC-016</t>
  </si>
  <si>
    <t>25-0079</t>
  </si>
  <si>
    <t>It is required to replace the elbow due to corrosion damage.</t>
  </si>
  <si>
    <t>63-9100-TL-5054-2''-150H22-HCW5. It is required to replace the elbow due to corrosion damage. Tie-ins at TP-001 and TP-002. Insulated, electric heat tracing. Process conditions: Pdes [TBD], Poper [TBD], Tdes [TBD], Toper [TBD].</t>
  </si>
  <si>
    <t>63-9100-TL-5054-2''-150H22-HCW5</t>
  </si>
  <si>
    <t>Elbow replacement</t>
  </si>
  <si>
    <t>1. Prior to the start of the mechanical activities, perform wall thickness testing at TP-001, TP-002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locations on site.</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</si>
  <si>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3. Remove all cladding and insulation to the extent required.
4. Apply and sign cut-line tape as per SP-26 at TP-001, TP-002.
5. Arrange with TASP I&amp;E Coordinator to isolate, LOTO and remove electric trace heating.
6. Cut and remove existing piping shown on drawing L-SK-001.
7. Bevel cut ends of existing piping at the tie-in points TP-001, TP-002 for field welding as shown on drawing L-SK-001.
8. Inspect the prepared weld bevel ends 100% VT and 100% MT/PT for defects.
9. Install elbow as specified on drawing L-SK-001. For field welds use TCO-approved WPSs indicated on drawing L-SK-001 or coversheet.
10. Perform NDE of field welds, as specified on drawing L-SK-001.
11. Perform surface preparation and touch up field welds and any other coating damages in accordance with TES COM-SU-4743-TCO and coating system(s) per TES COM-SU-5191-TCO specified on drawings.
12. Arrange with TASP I&amp;E Coordinator to reinstate / install electric trace heating.
13. All QM piping passport documentation (A-category Checklists) to be verified and signed by TCO-approved QM Inspector prior to PSSR, but not later than 24 hours after mechanical scope completion.
14. Advise DE TA26 Coordinators Rauan Mursal / Nurbolat Ramazanov at radio channel #25 about work completion and invite all necessary personnel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coversheet.
18. Close out all B-category punch points and remove associated scaffolding.
19. Clean up the work area and demobilize from site.</t>
  </si>
  <si>
    <t>TC-017</t>
  </si>
  <si>
    <t>25-0085</t>
  </si>
  <si>
    <t>TLR#22264 will be removed and section of line 62-0400-TL-1014-1.1/2”-150H22-HCW5 will be
replaced in-kind.</t>
  </si>
  <si>
    <t>62-0400-TL-1014-1 1/2"-150H22-HCW5. TLR#22264 will be removed and section of line 62-0400-TL-1014-1. Tie-ins at TP-001 and TP-002. Insulated, electric heat tracing. Process conditions: Pdes [TBD], Poper [TBD], Tdes [TBD], Toper [TBD].</t>
  </si>
  <si>
    <t>62-0400-TL-1014-1 1/2"-150H22-HCW5</t>
  </si>
  <si>
    <t>1. Prior to the start of the mechanical activities, perform wall thickness testing at TP-001 and TP-002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 on site.</t>
  </si>
  <si>
    <t>1. Withdraw materials required for this Job Pack from TCO Warehouse according to Material Requests.
2. Prefabricate pipe spools and pipe supports, as per drawing L-SK-002. Use TCO-approved Welding Procedure Specification (WPSs) indicated on drawing L-SK-002 or coversheet.
3. Perform non-destructive examination (NDE), as specified on drawing L-SK-002 or coversheet.
4. Abrasive blast and coat new piping spools and pipe supports, as specified on drawing L-SK-002 or coversheet in accordance with TES COM-SU-5191-TCO.</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</si>
  <si>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as scheduled and agreed between TCO Operations and CONTRACTOR.
3. Remove all cladding and insulation to the extent required.
4. Apply and sign cut-line tape as per SP-26 at TP-001 and TP-002.
5. Arrange with TASP I&amp;E Coordinator to isolate, LOTO and remove electric trace heating.
6. Cut/unbolt and remove existing piping and pipe supports shown on “Destruct Detail” of drawing L-SK-001.
7. Bevel cut end of existing piping at the tie-in points TP-001 and TP-002 for field welding as shown on drawing L-SK-002.
8. Inspect the prepared weld bevel end 100% VT and 100% MT/PT for defects.
9. Install piping and pipe supports as specified on drawing L-SK-002. For field welds use TCO-approved WPSs indicated on drawing L-SK-002 or coversheet.
10. Perform NDE of field weld, as specified on drawing L-SK-002 or coversheet.
11. Perform surface preparation and touch up field welds and any other coating damages in accordance with TES COM-SU-4743-TCO and coating system(s) per TES COM-SU-5191-TCO specified on drawings.
12. Arrange with TASP I&amp;E Coordinator to reinstate / install related electric trace heating.
13. All QM piping passport documentation (A-category Checklists) to be verified and signed by TCO-approved QM Inspector prior to PSSR, but not later than 24 hours after mechanical scope completion.
14. Advise DE TA26 Coordinators Rauan Mursal / Nurbolat Ramazanov at radio channel #25, about work completion and invite all necessary people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drawing L-SK-002 or Coversheet.
18. Close out all B-category punch points and remove associated scaffolding.
19. Clean up the work area and demobilize from site.</t>
  </si>
  <si>
    <t>TC-018</t>
  </si>
  <si>
    <t>25-0086</t>
  </si>
  <si>
    <t>Replace the leaking line with TLR #22235 on the new piping spool.</t>
  </si>
  <si>
    <t>63-9100-TL-1650-2’’-150H22-HCW5. Replace the leaking line with TLR #22235 on the new piping spool. Tie-ins at TP25-0086/001 and TP25-0086/002. Insulated, electric heat tracing. Process conditions: Pdes [TBD], Poper [TBD], Tdes [TBD], Toper [TBD].</t>
  </si>
  <si>
    <t>63-9100-TL-1650-2’’-150H22-HCW5</t>
  </si>
  <si>
    <t>1. Prior to the start of the mechanical activities, perform wall thickness testing at TP25-0086/001 and TP25-0086/002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marked with asterisk (*), pipe routing and field weld locations on site.</t>
  </si>
  <si>
    <t>1. Withdraw materials required for this Job Pack from TCO Warehouse according to Material Request(s).
2. Prefabricate pipe spools and pipe support, as per sketches L-SK-001 and L-SK-002. Use TCO-approved Welding Procedure Specification(s) (WPSs) indicated on sketches.
3. Abrasive blast and coat new piping spools and supports, as specified on sketches L-SK-001 and L-SK-002 in accordance with TES COM-SU-5191-TCO. NOTE: Mask off field weld joints and flange faces prior to coating.</t>
  </si>
  <si>
    <t>1. Perform relevant job safety assessments (PPHA &amp; JSA) and obtain required Permits-to-Work (PTWs).
2. Demarcate work area as necessary and erect scaffolding for access. NOTE: TCO Operations shall isolate, depressurize, drain and ready equipment and piping for Hot Work and hand over to CONTRACTOR in a safe LOTO condition.
3. Remove all cladding and insulation to the extent required.
4. Arrange with Zone Maintenance to isolate, LOTO and remove electric trace heating from associated piping. NOTE: Contractor shall match mark and record locations prior to removal to aid reinstatement.
5. Apply and sign cut-line tape as per SP-26 at TP25-0086/001 and TP25-0086/002.
6. Cold cut, unbolt and remove existing piping and pipe supports shown on sketches L-SK-001 and L-SK-002.
7. Bevel cut end of existing piping at the tie-in point TP25-0086/001 for field welding as shown on sketch L-SK-001.
8. Inspect the prepared weld bevel end 100% VT and 100% MT/PT for defects. NOTE: Perform inspection of weld bevel prior to welding.
9. Install piping and supports as specified on sketches L-SK-001 and L-SK-002. For field welds use TCO-approved WPSs.
10. Perform surface preparation and touch up field weld and any other coating damages in accordance with TES COM-SU-4743-TCO and coating system(s) per TES COM-SU-5191-TCO specified on drawings.
11. Arrange with Zone Maintenance to reinstate electric trace heating.
12. All QM piping passport documentation (A-category Checklists) to be verified and signed by TCO-approved QM Inspector prior to PSSR, but not later than 24 hours after mechanical scope completion.
13. Advise DE TA26 Coordinators Rauan Mursal / Nurbolat Ramazanov at radio channel #25 about work completion and invite all necessary personnel to PSSR.
14. Job Pack Coordinator shall submit the completed PIC check-list to Operations department after being signed by Quality Management group.
15. Conduct PSSR and close out A-category punch points.
16. Following PSSR reinstate / install insulation and cladding, as per TES IRM-SU-1381-TCO and as specified on sketches L-SK-001 and L-SK-002 or coversheet.
17. Close out all B-category punch points and remove associated scaffolding.
18. Clean up the work area and demobilize from site.</t>
  </si>
  <si>
    <t>A-ST-2008 Basic Engineering Data
PIM-SU-2505-TCO Carbon Steel Piping Fabrication
SI-105 Permit To Work and Hazard Analysis
PIM-SU-5209-TCO Flange Gaskets and Bolting
COM-SU-4743-TCO External Coatings
W-ST-2025 Welding, PWHT &amp; NDE of Piping
IRM-SU-1381-TCO Thermal Insulation for Hot Lines, Vessels and Exchangers
SP-26 Line Cutting</t>
  </si>
  <si>
    <t>TC-019</t>
  </si>
  <si>
    <t>25-0087</t>
  </si>
  <si>
    <t>Operations reported a leak (WO#1496218) in 62-0400-TL-3301-2"-150H22-HCW5 LP condensate line
(see sketch 1 &amp; photo 1). Inspection revealed through-wall damage in the vertical elbow
extrados. Profile RT of area RT1 was done for further TLR 21206 installation. Erosion wear was detected
in the leak area (see report RT21-945 &amp; photo 2). Additional RT of three similar elbows and two straight
downstream sections was done in tie-in areas RT2-RT6 (see sketch 2-3). The results showed erosion
damage in all areas, remaining T-min was 2.0 mm at T-nom = 5.54 mm and CA = 1.5 mm (see report
RT21-992 &amp; photo 3).</t>
  </si>
  <si>
    <t>There was a leak on the line # 62-0400-TL-3301-2"-150H22, few TLR were installed in place
#22252,22250,21206,20206, as per IR it is recommended to replace the section of the pipe to
eliminate this issue.</t>
  </si>
  <si>
    <t>62-0400-TL-3301-2"-150H22. There was a leak on the line # 62-0400-TL-3301-2"-150H22, few TLR were installed in place #22252,22250,21206,20206, as per IR it is recommended to replace the section of the pipe. Tie-ins at TP25-0087/001 and TP25-0087/002 and TP25-0087/003. Insulated, electric heat tracing. Process conditions: Pdes [TBD], Poper [TBD], Tdes [TBD], Toper [TBD].</t>
  </si>
  <si>
    <t>62-0400-TL-3301-2"-150H22</t>
  </si>
  <si>
    <t>1. Prior to the start of the mechanical activities, perform wall thickness testing at TP25-0087/001, TP25-0087/002 and TP25-0087/003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marked with asterisk (*), pipe routing and field weld locations on site.</t>
  </si>
  <si>
    <t>1. Withdraw materials required for this Job Pack from TCO Warehouse according to Material Request(s).
2. Prefabricate pipe spool, as per sketch L-SK-001. Use TCO-approved Welding Procedure Specifications (WPSs) indicated on sketch.
3. Abrasive blast and coat new piping spool, as specified on sketch L-SK-001 in accordance with TES COM-SU-5191-TCO. NOTE: Mask off field weld joints and flange faces prior to coating.</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</si>
  <si>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3. Remove all cladding and insulation to the extent required.
4. Arrange with Zone Maintenance to isolate, LOTO and remove electric trace heating from associated piping. NOTE: Contractor to match mark and record location prior to cutting and removal to aid reinstatement.
5. Apply and sign cut-line tape as per SP-26 at TP25-0087/001, TP25-0087/002 and TP25-0087/003.
6. Cold cut and remove existing piping shown on sketch L-SK-001.
7. Bevel cut ends of existing piping at the tie-in points TP25-0087/001, TP25-0087/002 and TP25-0087/003 for field welding as shown on sketch.
8. Inspect the prepared weld bevel ends 100% VT and 100% MT/PT for defects. NOTE: Perform inspection prior to welding.
9. Install piping as specified on sketch L-SK-001. For field welds use TCO-approved WPSs indicated on sketch.
10. Perform surface preparation and touch up field welds and any other coating damages in accordance with TES COM-SU-4743-TCO and TES COM-SU-5191-TCO specified on drawings.
11. Arrange with Zone Maintenance to reinstate / install related electric trace heating.
12. All QM piping passport documentation (A-category Checklists) to be verified and signed by TCO-approved QM Inspector prior to PSSR, but not later than 24 hours after mechanical scope completion.
13. Advise DE TA26 Coordinators Rauan Mursal / Nurbolat Ramazanov at radio channel #25 about work completion and invite all necessary people to PSSR.
14. Job Pack Coordinator shall submit the completed PIC check-list to Operations department after being signed by Quality Management group.
15. Conduct PSSR and close out A-category punch points.
16. Following PSSR reinstate / install insulation and cladding, as per TES IRM-SU-1381-TCO and as specified on sketch L-SK-001.
17. Close out all B-category punch points and remove associated scaffolding.
18. Clean up the work area and demobilize from site.</t>
  </si>
  <si>
    <t>TC-020</t>
  </si>
  <si>
    <t>25-0088</t>
  </si>
  <si>
    <t>A leak was detected on drain line on ST-701 discharge and installed TLR.</t>
  </si>
  <si>
    <t>TLR#20286 will be removed with replacement of flange.</t>
  </si>
  <si>
    <t>63-9100-SL-1280-24"-150H22-HC. TLR#20286 will be removed with replacement of flange. Tie-ins at TP-001. Insulated, no heat tracing. Process conditions: Pdes [TBD], Poper [TBD], Tdes [TBD], Toper [TBD].</t>
  </si>
  <si>
    <t>63-9100-SL-1280-24"-150H22-HC</t>
  </si>
  <si>
    <t>1. Withdraw materials required for this Job Pack from TCO Warehouse according to Material Requests.
2. Prefabricate pipe spool as per drawing L-SK-002. Use TCO-approved Welding Procedure Specification (WPSs) indicated on drawing L-SK-002 or coversheet.
3. Perform non-destructive examination (NDE), as specified on drawing L-SK-002 or coversheet.
4. Abrasive blast and coat new piping spool as specified on drawing L-SK-002 or coversheet in accordance with TES COM-SU-5191-TCO. NOTE: Mask off field weld joints and flange faces prior to coating.</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</si>
  <si>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CONTRACTOR; fully accessible, safe and Locked Out Tagged Out (LOTO).
3. Remove all cladding and insulation to the extent required.
4. Apply and sign cut-line tape as per SP-26 at TP-001.
5. Cut and remove existing piping shown on “Destruct Detail” of drawing L-SK-001.
6. Bevel cut end of existing piping at the tie-in point TP-001 for field welding as shown on drawing L-SK-002.
7. Inspect the prepared weld bevel end 100% VT and 100 % MT for defects.
8. Install flanged spool as specified on drawing L-SK-002. For field welds use TCO-approved WPSs indicated on drawing L-SK-002 or coversheet.
9. Perform NDE of field weld, as specified on drawing L-SK-002 or coversheet.
10. Perform surface preparation and touch up field welds and any other coating damages in accordance with TES COM-SU-4743-TCO and coating system(s) per TES COM-SU-5191-TCO specified on drawings.
11. All QM piping passport documentation (A-category Checklists) to be verified and signed by TCO-approved QM Inspector prior to PSSR, but not later than 24 hours after mechanical scope completion.
12. Advise DE TA26 Coordinators Rauan Mursal / Nurbolat Ramazanov at radio channel #25, about work completion and invite all necessary people to PSSR.
13. Job Pack Coordinator shall submit the completed PIC check-list to Operations department after being signed by Quality Management group.
14. Conduct PSSR and close out A-category punch points.
15. Following PSSR reinstate / install insulation and cladding, as per TES IRM-SU-1381-TCO and as specified on drawing L-SK-002 or coversheet.
16. Close out all B-category punch points and remove associated scaffolding.
17. Clean up the work area and demobilize from site.</t>
  </si>
  <si>
    <t>TC-021</t>
  </si>
  <si>
    <t>25-0093</t>
  </si>
  <si>
    <t>A leak was detected on 63-9100-SL-2082-1 ½”-150H22-HC bypass line of TV-07006 valve( at
62-F-701) during SGP operation. TLR#19108 was install to temporarily eliminate the leak.</t>
  </si>
  <si>
    <t>Replace the damaged pipe section on TV-07006 bypass line during TA26.</t>
  </si>
  <si>
    <t>63-9100-SL-2082-1 1/2"-150H22-HC. Replace the damaged pipe section on TV-07006 bypass line during TA26. Tie-ins at TP-001. Insulated, no heat tracing. Process conditions: Pdes [TBD], Poper [TBD], Tdes [TBD], Toper [TBD].</t>
  </si>
  <si>
    <t>63-9100-SL-2082-1 1/2"-150H22-HC</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</si>
  <si>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3. Remove all cladding and insulation to the extent required.
4. Apply and sign cut-line tape as per SP-26 at TP-001.
5. Cut/unbolt and remove existing piping and pipe supports shown on “Destruct Detail” of drawing L-SK-001.
6. Bevel cut end of existing piping at the tie-in point TP-001 for field welding as shown on drawing L-SK-002.
7. Inspect the prepared weld bevel end 100% VT and 100% MT for defects.
8. Install piping and pipe supports as specified on drawing L-SK-002. For field welds use TCO-approved WPSs indicated on drawing L-SK-002 or coversheet.
9. Perform NDE of field welds, as specified on drawing L-SK-002 or coversheet.
10. Perform surface preparation and touch up field welds and any coating damages in accordance with TES COM-SU-4743-TCO and TES COM-SU-5191-TCO.
11. All QM piping passport documentation (A-category Checklists) to be verified and signed by TCO-approved QM Inspector prior to PSSR, but not later than 24 hours after mechanical scope completion.
12. Advise DE TA26 Coordinators at radio channel #25 about work completion and invite all necessary personnel to PSSR.
13. Submit completed PIC check-list to Operations after being signed by Quality Management group.
14. Conduct PSSR and close out A-category punch points.
15. Reinstate insulation and cladding as per TES IRM-SU-1381-TCO and drawings.
16. Close out all B-category punch points and remove scaffolding.
17. Clean up the work area and demobilize from site.</t>
  </si>
  <si>
    <t>TC-022</t>
  </si>
  <si>
    <t>25-0112</t>
  </si>
  <si>
    <t>There is a steam leak on pipe section of SL steam line 63-9100-SL-5038-3/4"-150H22-HC on
U700. TLR# 23141, WO# 1704523.</t>
  </si>
  <si>
    <t>It is required to replace damaged pipe section of SL steam line 63-9100-SL-5038-3/4"-150H22-
HC.</t>
  </si>
  <si>
    <t>63-9100-SL-5038-3/4"-150H22-HC. It is required to replace damaged pipe section of SL steam line 63-9100-SL-5038-3/4"-150H22- HC. Tie-ins at [tie-in IDs TBD]. Insulated, no heat tracing. Process conditions: Pdes [TBD], Poper [TBD], Tdes [TBD], Toper [TBD].</t>
  </si>
  <si>
    <t>63-9100-SL-5038-3/4"-150H22-HC</t>
  </si>
  <si>
    <t>1. Prior to the start of the mechanical activities, perform wall thickness testing at tie-in points shown in sketch drawing L-SK-001 to confirm that wall thickness is adequate for welding. NOTE: Results shall be reviewed and approved by the Fixed Equipment Reliability (FER) Unit Inspector.
2. Prior to commencing any fabrication works verify dimensions on site.</t>
  </si>
  <si>
    <t>1. Withdraw materials required for this EWO from TCO Warehouse according to Material Request(s).
2. Abrasive blast and coat new piping, as specified on sketch drawing L-SK-001 in accordance with TES COM-SU-5191-TCO.</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</si>
  <si>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CONTRACTOR; fully accessible, safe and Locked-Out-Tagged-Out (LOTO) as scheduled and agreed.
3. Remove all cladding and insulation to the extent required.
4. Cut and remove existing piping shown on “Destruct Detail” of sketch drawing L-SK-001.
5. Bevel cut ends of existing piping at the tie-in points for field welding as shown on sketch drawing L-SK-001.
6. Inspect the prepared weld bevel ends 100% VT and 100% MT/PT for defects. NOTE: Perform inspection of weld bevels prior to welding.
7. Install piping as specified on sketch drawing L-SK-001. For field welds use TCO-approved WPS indicated on sketch drawing.
8. Perform NDE of field welds, as specified on sketch drawing L-SK-001.
9. Perform surface preparation and touch up field welds and any other coating damages in accordance with TES COM-SU-4743-TCO and coating system(s) per TES COM-SU-5191-TCO.
10. All QM piping passport documentation (A-category Checklists) to be verified and signed by TCO-approved QM Inspector, but not later than 24 hours after mechanical scope completion.
11. Advise DE TA26 Mechanical Engineers about work completion and invite all necessary personnel to PSSR.
12. Job Pack Coordinator shall submit the completed PIC checklist to Operations department after being signed by Quality Management group.
13. Conduct PSSR and close out A-category punch points.
14. Reinstate insulation and cladding as per IRM-SU-1381-TCO.
15. Close out all B-category punch points.
16. Clean up the work area and demobilize from site.</t>
  </si>
  <si>
    <t>1. Perform service test.
2. Final as-built package (including B-category Checklist) shall be submitted to TCO QM group within 2 weeks after completion of the whole scope of works.</t>
  </si>
  <si>
    <t>A-ST-2008 Basic Engineering Data
SI-105 Permit to work and hazard analysis
W-ST-2025 Welding, PWHT and NDE of piping
PIM-SU-2505-TCO Carbon Steel Piping Fabrication
RM-SU-1381-TCO Thermal Insulation for Hot Lines</t>
  </si>
  <si>
    <t>TC-023</t>
  </si>
  <si>
    <t>25-0114</t>
  </si>
  <si>
    <t>Replace damages section of TL condensate line 62-0400-TL-2148-1 1/2"-150H22-HCW5 on
U400. TLR# 22263, WO# 1651305.</t>
  </si>
  <si>
    <t>Replace damaged TEE of TL condensate line 62-0400-TL-2148-1 1/2"-150H22-HCW5.</t>
  </si>
  <si>
    <t>62-0400-TL-2148-1 1/2"-150H22-HCW5. Replace damaged TEE of TL condensate line 62-0400-TL-2148-1 1/2"-150H22-HCW5. Tie-ins at [tie-in IDs TBD]. Insulated, electric heat tracing. Process conditions: Pdes [TBD], Poper [TBD], Tdes [TBD], Toper [TBD].</t>
  </si>
  <si>
    <t>62-0400-TL-2148-1 1/2"-150H22-HCW5</t>
  </si>
  <si>
    <t>1. Prior to the start of the mechanical activities, perform wall thickness testing at tie-in points shown in isometric drawing 062-0400-LLL-ISO-20083-01 to confirm that wall thickness is adequate for welding. NOTE: Results shall be reviewed and approved by the Fixed Equipment Reliability (FER) Unit Inspector.
2. Prior to commencing any fabrication works verify dimensions on site.</t>
  </si>
  <si>
    <t>1. Withdraw materials required for this EWO from TCO Warehouse according to Material Request(s).
2. Abrasive blast and coat new piping, as specified on isometric drawing 062-0400-LLL-ISO-20083-01 in accordance with TES COM-SU-5191-TCO.</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</si>
  <si>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CONTRACTOR; fully accessible, safe and Locked-Out-Tagged-Out (LOTO).
3. Remove all cladding and insulation to the extent required.
4. Arrange with Zone Maintenance to isolate, LOTO and remove electric trace heating and instruments from associated piping.
5. Cut and remove existing piping shown on “Destruct Detail” of isometric drawing 062-0400-LLL-ISO-20083-01.
6. Bevel cut ends of existing piping at the tie-in points for field welding as shown on isometric drawing 062-0400-LLL-ISO-20083-01.
7. Inspect the prepared weld bevel ends 100% VT and 100% MT/PT for defects. NOTE: Perform inspection of weld bevels prior to welding.
8. Install piping as specified on isometric drawing 062-0400-LLL-ISO-20083-01. For field welds use TCO-approved WPS indicated on drawing.
9. Perform NDE of field welds as specified on isometric drawing 062-0400-LLL-ISO-20083-01.
10. Perform surface preparation and touch up field welds and any coating damages in accordance with TES COM-SU-4743-TCO and TES COM-SU-5191-TCO.
11. Arrange with Zone Maintenance to reinstate electric trace heating.
12. All QM piping passport documentation (A-category Checklists) to be verified and signed by TCO-approved QM Inspector, but not later than 24 hours after mechanical scope completion.
13. Advise DE TA26 Mechanical Engineers about work completion and invite all necessary personnel to PSSR.
14. Job Pack Coordinator shall submit the completed PIC checklist to Operations department after being signed by Quality Management group.
15. Conduct PSSR and close out A-category punch points.
16. Reinstate insulation and cladding as per IRM-SU-1381-TCO.
17. Close out all B-category punch points.
18. Clean up the work area and demobilize from site.</t>
  </si>
  <si>
    <t>A-ST-2008 Basic Engineering Data
SI-105 Permit to Work and Hazard Analysis
W-ST-2025 Welding, PWHT and NDE of Piping
PIM-SU-2505-TCO Carbon Steel Piping Fabrication
RM-SU-1381-TCO Thermal Insulation for Hot Lines</t>
  </si>
  <si>
    <t>TC-024</t>
  </si>
  <si>
    <t>25-0120</t>
  </si>
  <si>
    <t>After inspection was conducted several points of leak were detected and installed TLR #20019 on the
line 63-9100-TL-2046-1.5”-150H22-HCW5.</t>
  </si>
  <si>
    <t>TLR#20019 will be removed with repalement of pipe in kind.</t>
  </si>
  <si>
    <t>63-9100-TL-2046-1.5”-150H22-HCW5. TLR#20019 will be removed with repalement of pipe in kind. Tie-ins at TP25-0120/003. Insulated, electric heat tracing. Process conditions: Pdes [TBD], Poper [TBD], Tdes [TBD], Toper [TBD].</t>
  </si>
  <si>
    <t>63-9100-TL-2046-1.5”-150H22-HCW5</t>
  </si>
  <si>
    <t>1. Prior to the start of the mechanical activities, perform wall thickness testing at TP25-0120/003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marked with asterisk (*), pipe routing and field weld locations on site.</t>
  </si>
  <si>
    <t>1. Withdraw materials required for this Job Pack from TCO Warehouse according to Material Request(s).
2. Prefabricate pipe spools and pipe supports, as per sketches L-SK-002, L-SK-004, L-SK-006. Use TCO-approved Welding Procedure Specifications (WPSs) indicated on sketches.
3. Abrasive blast and coat new piping spools and supports, as specified on sketches L-SK-002, L-SK-004, L-SK-006 in accordance with TES COM-SU-5191-TCO. NOTE: Mask off field weld joints and flange faces prior to coating.</t>
  </si>
  <si>
    <t>1. Perform relevant job safety assessments (PPHA &amp; JSA) and obtain required Permits-to-Work (PTWs).
2. Demarcate work area as necessary and erect scaffolding for access. NOTE: TCO Operations shall isolate, depressurize, drain and ready equipment and piping for Hot Work and shall hand it over to CONTRACTOR; fully accessible, safe and Locked Out Tagged Out (LOTO).
3. Remove all cladding and insulation to the extent required.
4. Arrange with Zone Maintenance to isolate, LOTO and remove electric trace heating from associated piping. NOTE: Contractor shall match mark and record locations prior to removal for proper reinstatement.
5. Apply and sign cut-line tape as per SP-26 at TP25-0120/003.
6. Cut, unbolt and remove existing piping and pipe supports shown on sketches L-SK-001, L-SK-003, L-SK-005.
7. Bevel cut end of existing piping at the tie-in point TP25-0120/003 for field welding as shown on sketch L-SK-003.
8. Inspect the prepared weld bevel end 100% VT and 100% MT/PT for defects.
9. Install piping as specified on sketches L-SK-002, L-SK-004, L-SK-006. For field welds use TCO-approved WPSs.
10. Perform surface preparation and touch up field welds and any coating damages in accordance with TES COM-SU-4743-TCO and TES COM-SU-5191-TCO.
11. Arrange with Zone Maintenance to reinstate / install related electric trace heating.
12. All QM piping passport documentation (A-category Checklists) shall be verified and signed by TCO-approved QM Inspector prior to PSSR, but not later than 24 hours after mechanical scope completion.
13. Advise coordinators Rauan Mursal / Nurbolat Ramazanov at radio channel #25 about work completion and invite all necessary personnel to PSSR.
14. Job Pack Coordinator shall submit the completed PIC check-list to Operations department after being signed by Quality Management group.
15. Conduct PSSR and close out A-category punch points.
16. Following PSSR reinstate / install insulation and cladding as per TES IRM-SU-1381-TCO and drawings.
17. Close out all B-category punch points and remove associated scaffolding.
18. Clean up the work area and demobilize from site.</t>
  </si>
  <si>
    <t>TC-025</t>
  </si>
  <si>
    <t>25-0464</t>
  </si>
  <si>
    <t>It is necessary to remove two (2) clamps installed on the TL line at 051‑USA‑07 (#21082 / #21072), which were installed under Work Order (WO) 1391984 / 1392194.</t>
  </si>
  <si>
    <t>051-TL06-1/2"-150H03. It is necessary to remove two (2) clamps installed on the TL line at 051‑USA‑07 (#21082 / #21072), which were installed under Work Order (WO) 1391984 / 1392194. Tie-ins at TP-001 and TP-002 and TP-003 and TP25-0464/001. Insulated, no heat tracing. Process conditions: Pdes [TBD], Poper [TBD], Tdes [TBD], Toper [TBD].</t>
  </si>
  <si>
    <t>051-TL06-1/2"-150H03</t>
  </si>
  <si>
    <t>1. Prior to the start of the mechanical activities, perform wall thickness testing at TP25-0464/001, TP25-0464/002 and TP25-0464/003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 on site.</t>
  </si>
  <si>
    <t>1. Withdraw materials required for this Job Pack from TCO Warehouse according to Material Requests.
2. Prefabricate pipe spools and pipe supports, as per isometric drawing 021-0500-LLL-ISO-20217-02. Use TCO-approved Welding Procedure Specification (WPS) indicated on isometric drawing or coversheet.
3. Perform non-destructive examination (NDE), as specified on isometric drawing 021-0500-LLL-ISO-20217-02 or coversheet.
4. Abrasive blast and coat new piping spools and pipe supports, as specified on isometric drawing 021-0500-LLL-ISO-20217-02 or coversheet in accordance with TES COM-SU-4743-TCO and TES COM-SU-5191-TCO.</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</si>
  <si>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BP; fully accessible, safe and Locked Out Tagged Out (LOTO).
3. Remove all cladding and insulation to the extent required.
4. Apply and sign cut-line tape (stock code 305633) as per SP-26 at TP-001, TP-002 and TP-003.
5. Cut and remove existing piping and pipe supports shown on "Destruct Detail" of isometric drawing 021-0500-LLL-ISO-20217-01.
6. Bevel cut end of existing piping at the tie-in points TP25-0464/001, TP25-0464/002 and TP25-0464/003 for field welding as shown on isometric drawing 021-0500-LLL-ISO-20217-02.
7. Inspect the prepared weld bevel ends 100% VT and 100% MT/PT for defects.
8. Install piping as specified on isometric drawing 021-0500-LLL-ISO-20217-02. For field welds use TCO-approved WPSs indicated on isometric drawing or coversheet.
9. Perform NDE of field welds, as specified on isometric drawing 021-0500-LLL-ISO-20217-02 or coversheet.
10. Perform surface preparation and touch up field welds and any other coating damages in accordance with TES COM-SU-4743-TCO and TES COM-SU-5191-TCO.
11. All QM piping passport documentation (A-category Checklists) shall be verified and signed by TCO-approved QM Inspector prior to PSSR, but not later than 24 hours after mechanical scope completion.
12. Advise coordinator at radio channel #25 about work completion and invite all necessary personnel to PSSR.
13. Job Pack Coordinator shall submit the completed PIC check-list to Operations department after being signed by Quality Management group.
14. Conduct PSSR and close out A-category punch points.
15. Following PSSR reinstate / install insulation and cladding, as per TES IRM-SU-1381-TCO and drawings.
16. Close out all B-category punch points and remove associated scaffolding.
17. Clean up the work area and demobilize from site.</t>
  </si>
  <si>
    <t>A-ST-2008 Basic Engineering Data
PIM-SU-2505-TCO Piping Fabrication
SI-105 Permit To Work and Hazard Analysis
COM-SU-4743-TCO External Coatings
IRM-SU-1381-TCO Thermal Insulation for Hot Lines, Vessels and Exchangers
COM-SU-5191-TCO External Coatings
SP-26 Line Cutting
PIM-SU-5209-TCO Flange Gaskets and Bolting</t>
  </si>
  <si>
    <t>TC-026</t>
  </si>
  <si>
    <t>25-0542</t>
  </si>
  <si>
    <t>Unit 400 operators detected a liquid sulfur leak in the pipeline connecting Claus reactor 2R-401.2 to
intermediate sulfur tank 2F-407.2. A visual inspection revealed a through-hole damage in the weld
zone of a tee, measuring 25 mm × 15 mm.</t>
  </si>
  <si>
    <t>The pipeline section is planned to be replaced and the
steam jacket modified to ensure adequate heating.</t>
  </si>
  <si>
    <t>042-CS21-4"/6"-150H09. The pipeline section is planned to be replaced and the steam jacket modified to ensure adequate heating. Tie-ins at [tie-in IDs TBD]. Insulated, no heat tracing. Process conditions: Pdes [TBD], Poper [TBD], Tdes [TBD], Toper [TBD].</t>
  </si>
  <si>
    <t>042-CS21-4"/6"-150H09</t>
  </si>
  <si>
    <t>Test</t>
  </si>
  <si>
    <t>1. Withdraw materials required for this Job Pack from TCO Warehouse according to Material Requests.
2. Prefabricate inside pipe spools, as per drawing 022-0400-LLL-ISO-20103-01. Use TCO-approved Welding Procedure Specification 20AW/21AW.
3. Perform non-destructive examination (NDE) of inside pipe shop welds, as specified on drawing 022-0400-LLL-ISO-20103-01 or coversheet.
4. Perform shop hydrostatic testing of flanged spools as specified on isometric drawing 022-0400-LLL-ISO-20103-01 in accordance with TES PIM-SU-3541-TCO.
5. Prefabricate jacket pipe spools, as per drawing 022-0400-LLL-ISO-20103-01. Use TCO-approved Welding Procedure Specification 20AW/21AW.
6. Perform non-destructive examination (NDE) of jacket pipe shop welds, as specified on drawing 022-0400-LLL-ISO-20103-01 or coversheet.
7. Perform shop hydrostatic testing of jacket spools as specified on isometric drawing 022-0400-LLL-ISO-20103-01 in accordance with TES PIM-SU-3541-TCO.
8. Abrasive blast and coat new piping spools, as specified on drawing 022-0400-LLL-ISO-20103-01 or coversheet in accordance with TES COM-SU-5191-TCO. NOTE: Mask-off flange faces prior to coating.</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</si>
  <si>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and shall hand it over to CONTRACTOR; fully accessible, safe and Locked Out Tagged Out (LOTO).
3. Remove all cladding and insulation to the extent required.
4. Unbolt and remove existing piping and pipe supports shown on “Destruct Detail” of drawing 022-0400-LLL-ISO-20102-01.
5. Install piping and pipe supports as specified on drawing 022-0400-LLL-ISO-20103-01.
6. All QM piping passport documentation (A-category Checklists) to be verified and signed by TCO-approved QM Inspector prior to PSSR, but not later than 24 hours after mechanical scope completion.
7. Advise Daniyar Kaiyrgaliyev / Alkhan Amrullin at demog1 (#3194) about work completion and invite all necessary people to PSSR.
8. Job Pack Coordinator shall submit the completed PIC check-list to Operations department after being signed by Quality Management group.
9. Conduct PSSR and close out A-category punch points.
10. Following PSSR reinstate / install insulation and cladding, as per TES IRM-SU-1381-TCO and drawings.
11. Close out all B-category punch points and remove associated scaffolding.
12. Clean up the work area and demobilize from site.</t>
  </si>
  <si>
    <t>A-ST-2008 Basic Engineering Data
PIM-SU-2505-TCO Piping Fabrication
SI-105 Permit To Work and Hazard Analysis
COM-SU-4743-TCO External Coatings
IRM-SU-1381-TCO Thermal Insulation for Hot Lines, Vessels and Exchangers
COM-SU-5191-TCO Coating Systems
PIM-SU-5209-TCO Flange Gaskets and Bolting
L-ST-2018 Jacket Piping Details</t>
  </si>
  <si>
    <t>TC-027</t>
  </si>
  <si>
    <t>EWO-2180860</t>
  </si>
  <si>
    <t>It is necessary to eliminate the leak detected in the above-ground line of the fuel gas purge valve.</t>
  </si>
  <si>
    <t>O-3200-FG4027-4"-300H21-NI. It is necessary to eliminate the leak detected in the above-ground line of the fuel gas purge valve. Tie-ins at TP-001. Uninsulated, no heat tracing. Process conditions: Pdes [TBD], Poper [TBD], Tdes [TBD], Toper [TBD].</t>
  </si>
  <si>
    <t>Tee/branch repl.</t>
  </si>
  <si>
    <t>1. Prior to commencing any fabrication works verify dimensions and pipe routing on site.</t>
  </si>
  <si>
    <t>1. Perform relevant job safety assessments (PPHA &amp; JSA) and obtain required Permits-to-Work (PTWs).
2. Demarcate work area as necessary. NOTE: TCO Operations shall isolate, depressurize, drain and ready for Hot Work equipment and piping associated with this project and shall hand it over to CONTRACTOR in a safe LOTO condition.
3. Perform cleaning and descaling of 2-inch piping section up to the connection with 6-inch pipe.
4. Perform 100% MT or PT on the entire surface of the 2-inch pipe section to detect defects. NOTE: If through-wall or linear indications are found below the proposed tie-in point, notify FER Inspector and TCO Engineer for further recommendations.
5. Prefabricate pipe spools as per sketch L-SK-002.
6. Prior to start of mechanical work perform wall thickness testing at TP-001 to confirm suitability for welding.
7. Cold cut and remove existing pipeline sections as shown on sketch L-SK-001. NOTE: Follow SP-26 prior to cutting.
8. Bevel cut ends at tie-in point TP-001 for field welding.
9. Inspect prepared bevel ends 100% VT and 100% MT.
10. Install new pipeline section as per sketch L-SK-002.
11. Perform NDE of field welds as specified.
12. Perform hydrostatic testing in accordance with PIM-SU-3541-TCO.
13. Perform surface preparation and apply SPLASH ZONE A-788 coating to underground and damaged areas. NOTE:
14. Coating thickness: 2000–4000 microns
15. Apply 200 mm overlap between old and new coating
16. Apply system 3.2 finish (yellow) aboveground
17. Perform service test. NOTE: Invite Operations and Inspection to confirm no leaks before backfilling.
18. Verify and sign all QM piping passport documentation prior to PSSR.
19. Notify responsible engineers and invite personnel for PSSR.
20. Submit PIC checklist to Operations.
21. Perform PSSR and close punch points.
22. Backfill excavation as per PLL-SU-1800-TCO.
23. Submit final as-built package within 2 weeks.
24. Clean up work area and demobilize from site.</t>
  </si>
  <si>
    <t>1. Return excess material to TCO Warehouse.</t>
  </si>
  <si>
    <t>A-ST-2008 Basic Engineering Data
QAM-SU-2411-TCO Descaling and Cleaning Steel Piping
COM-SU-4743-TCO External Coatings
W-ST-2025 Welding, PWHT &amp; NDE of Piping
SI-105 Permit to Work and Hazard Analysis
PIM-SU-2505-TCO Piping Fabrication
PIM-SU-3541-TCO Hydrotesting of Piping Systems
SI-112 Safe Excavation Practices
PLL-SU-1800-TCO Onshore Pipeline Construction
X-000-X-PRO-0005 Tape Wrap Coating Repairs
SP-26 Line Cutting</t>
  </si>
  <si>
    <t>TC-028</t>
  </si>
  <si>
    <t>EWO-1381685</t>
  </si>
  <si>
    <t>Leak on the pipe , line number 64-3200-WSR-1003-4"-150K21-HCW5.</t>
  </si>
  <si>
    <t>64-3200-WSR-1003-4"-150K21-HCW5. Leak on the pipe , line number 64-3200-WSR-1003-4"-150K21-HCW5. Tie-ins at [tie-in IDs TBD]. Insulated, electric heat tracing. Process conditions: Pdes [TBD], Poper [TBD], Tdes [TBD], Toper [TBD].</t>
  </si>
  <si>
    <t>64-3200-WSR-1003-4"-150K21-HCW5</t>
  </si>
  <si>
    <t>1. Withdraw materials required for this Job Pack from TCO Warehouse according to Material Request.
2. Prefabricate flanged pipe spools as per drawing L-SK-002. Use TCO-approved WPS indicated on coversheet.
3. Perform post weld heat treatment (PWHT) as specified by WPS and in compliance with PIM-SU-2505-TCO.
4. Perform NDE and hardness testing of shop welds as specified on drawing L-SK-002. NOTE: NDE and hardness testing shall be performed only after PWHT.
5. Perform shop hydrostatic testing of flanged spools in accordance with PIM-SU-3541-TCO.
6. Abrasive blast and coat new flanged spools in accordance with TES COM-SU-5191-TCO. NOTE: Mask off flange faces and field weld areas prior to coating.</t>
  </si>
  <si>
    <t>1. Perform relevant job safety assessments (PPHA &amp; JSA) and obtain required Permits-to-Work (PTWs).
2. Demarcate work area and erect scaffolding as necessary. NOTE: TCO Operations shall isolate, depressurize, drain and hand over equipment in safe LOTO condition.
3. Remove insulation and cladding as required.
4. Arrange with Zone Maintenance to isolate, LOTO and remove electric trace heating.
5. Unbolt and remove existing piping shown on "Destruct Detail" (L-SK-001).
6. Install new flanged spool as per drawing L-SK-002.
7. Arrange with Zone Maintenance to reinstate electric trace heating.
8. Verify and sign all QM piping passport documentation prior to PSSR (not later than 24 hours after completion).
9. Notify responsible personnel and invite for PSSR.
10. Submit PIC checklist to Operations after QM approval.
11. Conduct PSSR and close A-category punch points.
12. Reinstate insulation and cladding as per IRM-SU-1381-TCO.
13. Close B-category punch points and remove scaffolding.
14. Clean up work area and demobilize.</t>
  </si>
  <si>
    <t>1. Submit final as-built package (including B-category checklist) within 2 weeks.
2. Return excess materials to TCO Warehouse.</t>
  </si>
  <si>
    <t>A-ST-2008 Basic Engineering Data
PIM-SU-2505-TCO Piping Fabrication
SI-105 Permit To Work and Hazard Analysis
PIM-SU-5209-TCO Flange Gaskets and Bolting
PIM-SU-3541-TCO Hydrotesting of Piping Systems
COM-SU-4743-TCO External Coatings
IRM-SU-1381-TCO Thermal Insulation
COM-SU-5191-TCO Coating Systems</t>
  </si>
  <si>
    <t>TC-029</t>
  </si>
  <si>
    <t>EWO-1924975</t>
  </si>
  <si>
    <t>Existing FIT-35112 flowmeter has 250 mm face-to-face dimension. New FIT-35112 flowmeter has 286
mm face-to-face dimension.</t>
  </si>
  <si>
    <t>Due to this discrepancy, piping spool highlighted in the isometric drawing L6435AA-FGH-4001-05 must be replaced by new piping spool with modified dimensions.</t>
  </si>
  <si>
    <t>64-3500-FGH-4001-2"-600H21-NI. Due to this discrepancy, piping spool highlighted in the isometric drawing L6435AA-FGH-4001-05 must be replaced by new piping spool with modified dimensions. Tie-ins at [tie-in IDs TBD]. Uninsulated, no heat tracing. Process conditions: Pdes [TBD], Poper [TBD], Tdes [TBD], Toper [TBD].</t>
  </si>
  <si>
    <t>64-3500-FGH-4001-2"-600H21-NI</t>
  </si>
  <si>
    <t>1. Withdraw materials required for this EWO from TCO Warehouse according to Material Request.
2. Prefabricate pipe spool as per isometric drawing L6435AA-FGH-4001-05 using TCO-approved WPS.
3. Perform non-destructive examination (NDE) of shop welds as specified on the isometric drawing.
4. Perform shop hydrostatic testing of flanged spool in accordance with PIM-SU-3541-TCO.
5. Abrasive blast and coat new piping spool in accordance with TES COM-SU-5191-TCO. NOTE: Mask flange faces prior to coating.</t>
  </si>
  <si>
    <t>1. Perform relevant job safety assessments (PPHA &amp; JSA) and obtain required Permits-to-Work (PTWs).
2. Demarcate work area and erect scaffolding as necessary. NOTE: TCO Operations shall isolate, depressurize, drain and hand over equipment in LOTO condition.
3. Unbolt and remove existing piping as shown on isometric drawing L6435AA-FGH-4001-05.
4. Install new piping spool as per isometric drawing L6435AA-FGH-4001-05.
5. All QM piping passport documentation (A-category Checklists) shall be verified and signed by TCO-approved QM Inspector prior to PSSR (not later than 24 hours after completion).
6. Notify responsible personnel about work completion and invite for PSSR.
7. Submit PIC checklist to Operations after QM approval.
8. Conduct PSSR and close A-category punch points.
9. Close B-category punch points and remove scaffolding.
10. Clean up work area and demobilize.</t>
  </si>
  <si>
    <t>1. Final as-built package (including B-category Checklist) shall be submitted to TCO QM group within 2 weeks.
2. Return excess material to TCO Warehouse.</t>
  </si>
  <si>
    <t>A-ST-2008 Basic Engineering Data
COM-SU-5191-TCO Coating Systems
PIM-SU-2505-TCO Piping Fabrication
PIM-SU-5209-TCO Flange Gaskets and Bolting
PIM-SU-3541-TCO Hydrotesting of Piping Systems
SI-105 Permit To Work and Hazard Analysis
W-ST-2025 Welding, PWHT &amp; NDE of Piping</t>
  </si>
  <si>
    <t>TC-030</t>
  </si>
  <si>
    <t>EWO-2013037</t>
  </si>
  <si>
    <t>During the walk-around inspection, it was observed that the ST-0095 condensate trap line was
unsupported and deformed.</t>
  </si>
  <si>
    <t>The bent piping and associated supports will be replaced in kind.</t>
  </si>
  <si>
    <t>43-9100-SH-011053-3/4"-900H21-HC. The bent piping and associated supports will be replaced in kind. Tie-ins at [tie-in IDs TBD]. Insulated, no heat tracing. Process conditions: Pdes [TBD], Poper [TBD], Tdes [TBD], Toper [TBD].</t>
  </si>
  <si>
    <t>43-9100-SH-011053-3/4"-900H21-HC</t>
  </si>
  <si>
    <t>Section + support</t>
  </si>
  <si>
    <t>1. Verify all dimensions and identify section location on site prior to commencing fabrication works. Any discrepancies shall be reported to the TCO Design Engineer.
2. Perform NDE at tie-in point TP EWO 2013037/002 to confirm adequate wall thickness for welding. Results shall be approved by the TCO FER Unit Inspector prior to cutting.</t>
  </si>
  <si>
    <t>1. Withdraw required materials from TCO Warehouse according to Material Request.
2. Fabricate pipe spools as per isometric drawing L-SK-002 using TCO-approved WPS.
3. Perform non-destructive examination (NDE) of shop welds as specified on drawing L-SK-002.
4. Abrasive blast and coat new piping spools in accordance with TES COM-SU-5191-TCO.</t>
  </si>
  <si>
    <t>1. Perform relevant job safety assessments (PPHA &amp; JSA) and obtain required Permits-to-Work (PTWs).
2. Demarcate work area and install scaffolding as required. NOTE: TCO Operations shall isolate, depressurize and hand over equipment in safe LOTO condition.
3. Remove cladding and insulation as required.
4. Apply cut-line marking as per SP-26.
5. Cold cut, unbolt and remove existing piping per “Destruct Detail” (L-SK-001).
6. Bevel cut ends at tie-in point TP EWO 2013037/002 for field welding.
7. Inspect prepared weld bevels 100% MT/PT for defects.
8. Install piping as per drawing L-SK-002 using approved WPS.
9. Install structural pipe supports as per drawing and standard support details.
10. Perform NDE of field welds as specified.
11. Perform field hydrostatic testing of piping in accordance with TES PIM-SU-3541-TCO.
12. Perform surface preparation and touch-up coating per TES COM-SU-4743-TCO and COM-SU-5191-TCO.
13. Reinstate insulation and cladding.
14. Complete and sign all QM piping passport documentation prior to PSSR (not later than 24 hours after completion).
15. Notify responsible engineers and invite personnel for PSSR.
16. Conduct PSSR and close A-category punch points.
17. Close B-category punch points and remove scaffolding.
18. Clean site and demobilize.</t>
  </si>
  <si>
    <t>1. Return unused materials to TCO Warehouse.
2. Submit final as-built package (including B-category checklist) within 2 weeks after completion.</t>
  </si>
  <si>
    <t>A-ST-2008 Basic Engineering Data
PIM-SU-2505-TCO Piping Fabrication
PIM-SU-3541-TCO Hydrotesting of Onshore Piping Systems
SI-105 Permit to Work and Hazard Analysis
COM-SU-4743-TCO External Coating
COM-SU-5191-TCO Coating Systems</t>
  </si>
  <si>
    <t>TC-031</t>
  </si>
  <si>
    <t>EWO-2029651</t>
  </si>
  <si>
    <t>The existing line X60.WP.3.3009.2.150P01 has sustained damage and exhibits visible dents.</t>
  </si>
  <si>
    <t>It is advised to fabricate two pipe spools according to recommended scope.
One spool will be installed on-site to replace the damaged line.
The second spool will be kept in reserve for future use.
Please proceed by following the detailed steps outlined on the next page.</t>
  </si>
  <si>
    <t>X60.WP.3.3009.2.150P01</t>
  </si>
  <si>
    <t>1. Withdraw materials required for this Job Pack from TCO Warehouse according to Material Request(s).
2. Perform Positive Material Identification (PMI) on all corrosion resistant alloy (CRA) materials and weld consumables as per TCO SP-20.
3. Prefabricate 2 pipe spools as per Sketch 1 using TCO-approved WPS (25AW).
4. Perform non-destructive examination (NDE) of shop welds as specified on cover sheet.
5. Perform hydrotesting of spools at pressure 3.8 bar.
6. Abrasive blast and coat new piping spools and supports in accordance with TES COM-SU-5191-TCO. NOTE: Mask field weld joints and flange faces prior to coating.</t>
  </si>
  <si>
    <t>1. Perform relevant job safety assessments (PPHA &amp; JSA) and obtain required Permits-to-Work (PTWs).
2. Demarcate work area and erect scaffolding as necessary. NOTE: TCO Operations shall isolate, depressurize, drain and hand over equipment in safe LOTO condition.
3. Unbolt and remove existing piping shown on Sketch 1.
4. Install new piping spool as per Sketch 1.
5. Keep second prefabricated spool as spare for future use.
6. All QM piping passport documentation (A-category Checklists) shall be verified and signed by TCO-approved QM Inspector not later than 24 hours after completion.
7. Advise responsible engineers and invite personnel for PSSR.
8. Submit PIC checklist to Operations after QM approval.
9. Conduct PSSR and close A-category punch points.
10. Close B-category punch points and remove scaffolding.
11. Clean work area and demobilize.</t>
  </si>
  <si>
    <t>A-ST-2008
PIM-SU-2505-TCO
SI-105
COM-SU-4743-TCO
W-ST-2025
SP-26</t>
  </si>
  <si>
    <t>TC-032</t>
  </si>
  <si>
    <t>EWO-2029652</t>
  </si>
  <si>
    <t>During the inspection, mechanical damage to the X-604-WP-3009-2"-150P01 line was discovered. The existing section of
line X-604-WP-3009-2"-150P01 requires replacement.</t>
  </si>
  <si>
    <t>It is recommended to fabricate a spool according to the specified scope. Additionally, replace the 2" 150# valve.
Follow the steps on the next page.</t>
  </si>
  <si>
    <t>X-604-WP-3009-2"-150P01. It is recommended to fabricate a spool according to the specified scope. Tie-ins at [tie-in IDs TBD]. [insulation tbd], no heat tracing. Process conditions: Pdes [TBD], Poper [TBD], Tdes [TBD], Toper [TBD].</t>
  </si>
  <si>
    <t>X-604-WP-3009-2"-150P01</t>
  </si>
  <si>
    <t>1. Withdraw materials required for this Job Pack from TCO Warehouse according to Material Request(s).
2. Perform Positive Material Identification (PMI) as per TCO Procedure SP-20 on all corrosion resistant alloy (CRA) materials and weld consumables.
3. Prior to start welding activities and installation verify all dimensions on site
4. Prefabricate pipe spools as per Sketch 1. Use TCO-approved Welding Procedure Specification(s) (WPSs) indicated on cover sheet.
5. Perform non-destructive examination (NDE) of shop welds, as specified on cover sheet.
6. Abrasive blast and coat new piping spools and supports, as specified on cover sheet in accordance with TES COM-SU-5191-TCO NOTE: Mask-off field-weld joints and flange faces prior to coating.
7. Prior installation on site check the valves at the IB valve shop for functionality, defects and leaks</t>
  </si>
  <si>
    <t>1. Perform relevant job safety assessments (PPHA &amp; JSA) and obtain required Permits-to-Work (PTWs).
2. Demarcate work area as necessary. NOTE: TCO Operations shall isolate, depressurize, drain and ready for Hot Work, Equipment and Piping associated with this Project, if and as applicable, and shall hand it over to CONTRACTOR; fully accessible, safe and Locked-Out-Tagged-Out (LOTO) as scheduled and agreed between TCO Operations and CONTRACTOR.
3. Unbolt and remove existing piping shown on Sketch 1.
4. Install piping as specified on isometric drawing Sketch 1.
5. Perform service test.
6. All QM piping passport documentation (A-category Checklists) to be verified and signed by TCO-approved QM Inspector prior to PSSR, but not later than 24 hours after mechanical scope completion.
7. Advice Kanat Karabalin / Artur Amanzholov, DE FUPO Engineer at ext. 3244 about work completion and invite all necessary people to PSSR
8. Job Pack Coordinator shall submit the completed PIC check-list to Operations department after being signed by Quality Management group.
9. Conduct PSSR and close out A-category punch points.
10. Close out all B-category punch points and remove associated scaffolding.
11. Clean up the work area and demobilize from site.</t>
  </si>
  <si>
    <t>A-ST-2008                    Basic Engineering Data
PIM-SU-2505-TCO            Piping Fabrication
SI-105                     Permit To Work and Hazard Analysis
COM-SU-4743-TCO            External Coatings
W-ST-2025                  Welding, PWHT &amp; NDE of Piping
SP-26                      Line cutting</t>
  </si>
  <si>
    <t>TC-033</t>
  </si>
  <si>
    <t>EWO-2107378</t>
  </si>
  <si>
    <t>Operations reported the factual rupture on 062-WE-4082-3”-150H22-HCW5 line from the pump G-042
to T-048 Sludge Tank. The damage is X-shaped and oriented along the expanded elbow section.</t>
  </si>
  <si>
    <t>062-WE-4082-3”-150H22-HCW5. N/A Tie-ins at TP2107. Insulated, electric heat tracing. Process conditions: Pdes [TBD], Poper [TBD], Tdes [TBD], Toper [TBD].</t>
  </si>
  <si>
    <t>062-WE-4082-3”-150H22-HCW5</t>
  </si>
  <si>
    <t>1. Prior to the start of the mechanical activities, perform wall thickness testing at TP2107378/001 and TP2107378/002 to confirm that wall thickness is adequate for welding. NOTE: Perform the wall thickness test by marking out and recording a matrix as directed by the TCO FER Unit Inspector.
2. Prior to commencing any fabrication works verify dimensions marked with asterisk (*), pipe routing and field weld locations on site.</t>
  </si>
  <si>
    <t>1. Withdraw materials required for this Job Pack from TCO Warehouse according to Material Request(s).
2. Prefabricate pipe spools and pipe supports, as per sketches L-ST-001, L-ST-002. Use TCO-approved Welding Procedure Specification(s) (WPSs) indicated on sketches.
3. Perform non-destructive examination (NDE) of shop welds, as specified on sketches L-ST-001, L-ST-002.
4. Abrasive blast and coat new piping spools and supports, as specified on sketches L-ST-001, L-ST-002 in accordance with TES COM-SU-5191-TCO. NOTE: Mask off field weld joints prior to coating.</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</si>
  <si>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 Out Tagged Out (LOTO) as scheduled and agreed between TCO Operations and CONTRACTOR.
3. Remove all cladding and insulation to the extent required.
4. Arrange with Zone Maintenance to isolate and remove electric trace heating from associated piping.
5. Apply and sign cut-line tape as per SP-26 at TP2107378/001 and TP2107378/002.
6. Cold cut and remove existing piping and pipe supports shown on sketches L-ST-001 and L-ST-002.
7. Bevel cut ends of existing piping at the tie-in point(s) TP2107378/001 and TP2107378/002 for field welding as shown on sketches L-ST-001 and L-ST-002.
8. Inspect the prepared weld bevel ends 100% VT and 100% MT/PT for defects.
9. Install piping and supports as specified on sketches L-ST-001 and L-ST-002. For field welds use TCO-approved WPSs indicated on sketches L-ST-001 and L-ST-002.
10. Perform NDE of field welds, as specified on sketches L-ST-001 and L-ST-002.
11. Perform surface preparation and touch up field welds and any other coating damages in accordance with TES COM-SU-4743-TCO and coating system(s) per TES COM-SU-5191-TCO specified on drawings.
12. Arrange with Zone Maintenance to reinstate / install related electric trace heating.
13. All QM piping passport documentation (A-category Checklists) to be verified and signed by TCO-approved QM Inspector prior to PSSR, but not later than 24 hours after mechanical scope completion.
14. Advise Mursal Rauan/Azamat Jambayev #3929, about work completion and invite all necessary people to PSSR.
15. Job Pack Coordinator shall submit the completed PIC check-list to Operations department after being signed by Quality Management group.
16. Conduct PSSR and close out A-category punch points.
17. Following PSSR reinstate / install insulation and cladding, as per TES IRM-SU-1381-TCO and as specified on sketches L-ST-001 and L-ST-002.
18. Close out all B-category punch points and remove associated scaffolding.
19. Clean up the work area and demobilize from site.</t>
  </si>
  <si>
    <t>1. Perform service test.
2. Final as-built package (including B-category Checklists) shall be submitted to TCO QM group within 2 weeks after completion of the whole scope of works.
3. Return excess material to TCO Warehouse.</t>
  </si>
  <si>
    <t>A-ST-2008                    Basic Engineering Data
PIM-SU-2505-TCO            Carbon Steel Piping Fabrication
SI-105                     Permit To Work and Hazard Analysis
PIM-SU-5209-TCO            Flange Gaskets and Bolting
COM-SU-4743-TCO            External Coatings
SP-26                      Line cutting
IRM-SU-1381-TCO            Thermal Insulation for Hot Lines, Vessels and Exchangers</t>
  </si>
  <si>
    <t>TC-034</t>
  </si>
  <si>
    <t>EWO-2126781</t>
  </si>
  <si>
    <t>Based on the results of the visual inspection, corrosion damage was found on the 6” pipe at the air outlet to the atmosphere, as well as on the protective cap with welded supports. To assess the overall condition, UT thickness measurement (TH25-0093) was carried out, and the thickness measurement results showed above nominal.</t>
  </si>
  <si>
    <t xml:space="preserve">Replacement of the corroded section of the ventilation pipe in workshop GX-5 </t>
  </si>
  <si>
    <t>060-BV-3005-6"-150H21-NI. Replacement of the corroded section of the ventilation pipe in workshop GX-5 Tie-ins at TP-001. Uninsulated, no heat tracing. Process conditions: Pdes [TBD], Poper [TBD], Tdes [TBD], Toper [TBD].</t>
  </si>
  <si>
    <t>060-BV-3005-6"-150H21-NI</t>
  </si>
  <si>
    <t>1. Withdraw materials required for this Job Pack from TCO Warehouse according to Material Requests.
2. Prefabricate pipe spool, as per drawing L-SK-3005-001. Use TCO-approved Welding Procedure Specification (WPSs) indicated on drawing L-SK-3005-001 or coversheet.
3. Perform non-destructive examination (NDE), as specified on drawings L-SK-3005-001 or coversheet.
4. Abrasive blast and coat new piping spool, as specified on drawing L-SK-3005-001 or coversheet in accordance with TES COM-SU-5191-TCO.</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</si>
  <si>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 Out Tagged Out (LOTO) as scheduled and agreed between TCO Operations and CONTRACTOR.
3. Apply and sign cut-line tape as per SP-26 at TP-001.
4. Cut and remove existing piping shown on "Destruct Detail" of drawings L-SK-3005-001D.
5. Bevel cut ends of existing piping at the tie-in points TP TP-001 for field welding as shown on drawing L-SK-3005-001D.
6. Inspect the prepared weld bevels 100% VT and 100 % MT/PT for defects.
7. Install piping as specified on drawing L-SK-3005-001. For field weld use TCO-approved WPSs indicated on drawing L-SK-3005-001 or coversheet.
8. Perform NDE of field weld, as specified on drawing L-SK-3005-001 or coversheet.
9. Perform surface preparation and touch up field welds and any other coating damages in accordance with TES COM-SU-4743-TCO and coating system(s) per TES COM-SU-5191-TCO specified on drawing.
10. All QM piping passport documentation (A-category Checklists) to be verified and signed by TCO-approved QM Inspector prior to PSSR, but not later than 24 hours after mechanical scope completion.
11. Advise DE Nurbol Sagimaliyev / Yerzhan Ualiyev at ext #3205, about work completion and invite all necessary people to PSSR.
12. Job Pack Coordinator shall submit the completed PIC check-list to Operations department after being signed by Quality Management group. (Form is provided by QM Dept.).
13. Conduct PSSR and close out A-category punch points.
14. Close out all B-category punch points and remove associated scaffolding.
15. Clean up the work area and demobilize.</t>
  </si>
  <si>
    <t>A-ST-2008                    Basic Engineering Data
PIM-SU-2505-TCO            Piping Fabrication
SI-105                     Permit To Work and Hazard Analysis
COM-SU-4743-TCO            External Coatings
W-ST-2025                  Welding, PWHT &amp; NDE of Piping
COM-SU-5191-TCO            External Coatings
SP-26                      Line Cutting</t>
  </si>
  <si>
    <t>TC-035</t>
  </si>
  <si>
    <t>EWO-2127713</t>
  </si>
  <si>
    <t>Leak on the pipe , line number 63-9900-CCS-1004-2"-150H25-HCW5.</t>
  </si>
  <si>
    <t>63-9900-CCS-1004-2"-150H25-HCW5. N/A Tie-ins at TP-001 and TP-002. Insulated, electric heat tracing. Process conditions: Pdes [TBD], Poper [TBD], Tdes [TBD], Toper [TBD].</t>
  </si>
  <si>
    <t>63-9900-CCS-1004-2"-150H25-HCW5</t>
  </si>
  <si>
    <t>1. Prior to the start of the mechanical activities, perform wall thickness testing at TP-001 and TP-002 to confirm that wall thickness is adequate for welding. Results shall be reviewed and approved by the Fixed Equipment Reliability (FER) Unit Inspector. NOTE: Perform the wall thickness test by marking out and recording a matrix as directed by the TCO FER Unit Inspector.
2. Prior to commencing any fabrication works verify dimensions, pipe routing and field weld locations on site.</t>
  </si>
  <si>
    <t>1. Withdraw materials required for this Job Pack from TCO Warehouse according to Material Requests.
2. Prefabricate pipe spools and pipe supports, as per L-SK-002. Use TCO-approved Welding Procedure Specification(s) (WPSs) indicated on Coversheet.
3. Perform post weld heat treatment (PWHT) as specified by WPS and in compliance with TES PIM-SU2505-TCO.
4. Perform non-destructive examination (NDE) and hardness testing of shop welds, as specified on L-SK002. NOTE: Perform NDE and hardness testing only after PWHT!
5. Abrasive blast and coat new piping spool and supports, as specified on L-SK-002 in accordance with TES COM-SU-5191-TCO and COM-SU-4743-TCO.</t>
  </si>
  <si>
    <t>1. Perform relevant job safety assessments (PPHA &amp; JSA) and obtain required Permits-to-Work (PTWs).
2.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 Out Tagged Out (LOTO) as scheduled and agreed between TCO Operations and CONTRACTOR.
3. Remove all cladding and insulation to the extent required.
4. Arrange with Zone Maintenance to isolate, LOTO and remove electric trace heating from associated piping per.
5. Apply and sign cut-line tape as per SP-26 at TP-001 and TP-002.
6. Cut and remove existing piping and pipe supports shown on “Destruct Detail” of L-SK-001. NOTE: Cracked defective specimen must be cut out and submitted to the Mechanical Integrity Group to determine cause of through damage and mechanism of damage.
7. Bevel cut ends of existing piping at the tie-in points TP-001 and TP-002 for field welding as shown on L-SK-002.
8. Inspect the prepared weld bevel ends 100% VT and 100 % MT/PT for defects.
9. For tie-in points TP-001 and TP-002 following steps are required to be performed to remove amine/caustic residue and minimize the risk of ASCC/CSCC during welding to the existing pipe as per 23-0002-MI:
10. Water rinse and wipe with rag or cloth ID of the equipment for approximately 0.5 meter from the welding edge;
11. Use degreaser (Mix in warm water of 10% of SRC4231R or simple potash solution);
12. Water rinse after degreaser and wipe with rag or cloth, verify visually that it is cleaned (no oil or any hydrocarbons on the surface);
13. Follow up with weak acid (Mix 5% citric acid in warm water) to neutralize residual amine ID of the equipment for approximately 0.5 meter from the welding edge;
14. Water flush and wipe with rag or cloth ID of the cleaned section of the equipment;
15. Verify visually that ID surface is cleaned, and if required repeat steps above;
16. Perform light grinding or wire brush on ID at least 75 mm beyond welding edge;
17. Perform MT of welding edge and at least 25 mm on both equipment ID &amp; OD to verify absence of any cracking prior to start of welding;
18. Weld the joint using approved WPS;
19. Perform MT and PAUT after welding to confirm no cracking occurred during welding.
20. Install piping spool and pipe supports as specified on L-SK-002. For field welds use TCO-approved WPSs indicated on Coversheet.
21. Perform PWHT of field joints as specified by WPS and in compliance with TES PIM-SU-2505-TCO.
22. Perform NDE and hardness testing of field welds, as specified on L-SK-002. NOTE: Perform NDE and Hardness Testing only after PWHT!
23. Perform field hydrostatic testing of new piping as specified on L-SK-002 in accordance with TES PIMSU-3541-TCO.
24. Perform surface preparation and touch up field welds and any other coating damages in accordance with TES COM-SU-4743-TCO and coating system per TES COM-SU-5191-TCO specified on drawings.
25. Install new Aerogel/Pyrogel insulation to pipe replacement section as per recommendations from MI.
26. Arrange with Zone Maintenance to reinstate / install related electric trace heating.
27. All QM piping passport documentation (A-category Checklists) to be verified and signed by TCOapproved QM Inspector prior to PSSR, but not later than 24 hours after mechanical scope completion.
28. Advise Mursal Rauan sedtsgpfel@, #3929, about work completion and invite all necessary people to PSSR.
29. Job Pack Coordinator shall submit the completed PIC check-list to Operations department after being signed by Quality Management group. (Form is provided by QM Dept.).
30. Conduct PSSR and close out A-category punch points.
31. Following PSSR reinstate / install insulation and cladding, as per TES IRM-SU-1381-TCO and as specified on L-SK-002.
32. Close out all B-category punch points and remove associated scaffolding.
33. Clean up the work area and demobilize from site.</t>
  </si>
  <si>
    <t>A-ST-2008                    Basic Engineering Data
PIM-SU-2505-TCO            Piping Fabrication
SI-105                     Permit To Work and Hazard Analysis
PIM-SU-3541-TCO            Hydro testing of onshore piping system
COM-SU-4743-TCO            External Coatings
IRM-SU-1381-TCO            Thermal Insulation for Hot Lines, Vessels and Exchangers
COM-SU-5191-TCO            Coating Systems</t>
  </si>
  <si>
    <t>TC-036</t>
  </si>
  <si>
    <t>EWO-2127910</t>
  </si>
  <si>
    <t>Based on the inspection results it is recommended to replace flange pair of X60.WP.2.3010.1 ½”-150P01 as per
the advised scope</t>
  </si>
  <si>
    <t>In kind replacement of the flange pair of line X60.WP.2.3010.1 ½”-150P01. Follow the steps on the next page</t>
  </si>
  <si>
    <t>X60.WP.2.3010.1 ½”-150P01. In kind replacement of the flange pair of line X60. Tie-ins at TP-001. [insulation tbd], no heat tracing. Process conditions: Pdes [TBD], Poper [TBD], Tdes [TBD], Toper [TBD].</t>
  </si>
  <si>
    <t>X60.WP.2.3010.1 ½”-150P01</t>
  </si>
  <si>
    <t>1. Withdraw materials required for this Job Pack from TCO Warehouse according to Material Request(s).
2. Perform Positive Material Identification (PMI) as per TCO Procedure SP-20 on all corrosion resistant alloy (CRA) materials and weld consumables.
3. Perform relevant job safety assessments (PPHA &amp; JSA) and obtain required Permits-to-Work (PTWs).
4. Demarcate work area as necessary and erect scaffolding for access. NOTE: TCO Operations shall isolate, depressurize, drain and ready for Hot Work, Equipment and Piping associated with this Project, if and as applicable, and shall hand it over to CONTRACTOR; fully accessible, safe and Locked-Out-Tagged-Out (LOTO) as scheduled and agreed between TCO Operations and CONTRACTOR.
5. Apply and sign cut-line tape as per SP-26 at TP-001.
6. NDE tie-in point 001 to determine adequate wall thickness for welding. NDE reports shall be approved by TCO FER unit inspector prior to cut
7. Cold Cut, unbolt and remove existing piping shown on Sketch 1.
8. Submit corroded flange to RE MI (micon@, IBMOA office #2052) group for root cause analysis review.
9. Bevel cut ends of existing piping at the tie-in point(s) TP-001 for field welding as shown on Sketch 1.
10. Inspect the prepared weld bevel ends 100% VT and 100 % PT for defects.
11. Perform PMI at field joints as per TCO Procedure SP-20 on alloy materials listed in SP-20 Appendix 20-1.
12. Install piping as specified on Sketch 1. For field welds use TCO-approved WPSs indicated on cover sheet.
13. Perform NDE of field welds, as specified on cover sheet.
14. Perform service test.
15. Perform surface preparation and touch up field welds and any other coating damages in accordance with TES COM-SU-4743-TCO and coating system(s) per TES COM-SU-5191-TCO specified on cover sheet.
16. All QM piping passport documentation (A-category Checklists) to be verified and signed by TCO-approved QM Inspector prior to PSSR, but not later than 24 hours after mechanical scope completion.
17. Advise Kanat Karabalin / Artur Amanzholov, DE FUPO Engineer at ext. 3244 about work completion and invite all necessary people to PSSR
18. Job Pack Coordinator shall submit the completed PIC check-list to Operations department after being signed by Quality Management group. (Form is provided by QM Dept.).
19. Conduct PSSR and close out A-category punch points.
20. Close out all B-category punch points and remove associated scaffolding.
21. Clean up the work area and demobilize from site.</t>
  </si>
  <si>
    <t>Identifier</t>
  </si>
  <si>
    <t>Run metadata</t>
  </si>
  <si>
    <t>AI OUTPUT</t>
  </si>
  <si>
    <t>Run ID</t>
  </si>
  <si>
    <t>Date</t>
  </si>
  <si>
    <t>Prompt version</t>
  </si>
  <si>
    <t>Model version</t>
  </si>
  <si>
    <t>Operator</t>
  </si>
  <si>
    <t>AI output — PSW</t>
  </si>
  <si>
    <t>AI output — Shop Work</t>
  </si>
  <si>
    <t>AI output — Site Work</t>
  </si>
  <si>
    <t>AI output — After Completion</t>
  </si>
  <si>
    <t>Link</t>
  </si>
  <si>
    <t>Structural quality (py code will added later)</t>
  </si>
  <si>
    <t>Outcome</t>
  </si>
  <si>
    <t>Recall % (PSW)</t>
  </si>
  <si>
    <t>Recall % (Shop)</t>
  </si>
  <si>
    <t>Precision % (PSW)</t>
  </si>
  <si>
    <t>Precision % (Shop)</t>
  </si>
  <si>
    <t>Schema score %</t>
  </si>
  <si>
    <t>Citation accuracy %</t>
  </si>
  <si>
    <t>Hallucinated specs (count)</t>
  </si>
  <si>
    <t>Sequence correct (Y/N)</t>
  </si>
  <si>
    <t>Pass/Fail</t>
  </si>
  <si>
    <t>Notes</t>
  </si>
  <si>
    <t>Reviewer</t>
  </si>
  <si>
    <t>Subjective ratings (blind score recommended)</t>
  </si>
  <si>
    <t>Verdict</t>
  </si>
  <si>
    <t>Engineer name</t>
  </si>
  <si>
    <t>Overall (1-5)</t>
  </si>
  <si>
    <t>Correct?</t>
  </si>
  <si>
    <t>Complete?</t>
  </si>
  <si>
    <t>Safe?</t>
  </si>
  <si>
    <t>Pass vote</t>
  </si>
  <si>
    <t>Comments / specific issues</t>
  </si>
  <si>
    <t>Quantitative metrics (auto-computable)</t>
  </si>
  <si>
    <t>Metric</t>
  </si>
  <si>
    <t>How to compute</t>
  </si>
  <si>
    <t>Example</t>
  </si>
  <si>
    <t>MVP target (preliminary)</t>
  </si>
  <si>
    <t>Word recall %</t>
  </si>
  <si>
    <t>Reference has 200 unique content words. AI output contains 150 of them. Recall = 75%.</t>
  </si>
  <si>
    <t>≥ 70% on dev set</t>
  </si>
  <si>
    <t>Word precision %</t>
  </si>
  <si>
    <t>Of the words in AI output, what fraction appear in the reference? Formula: (matched_words / ai_words) × 100. Penalizes hallucinated content.</t>
  </si>
  <si>
    <t>AI output has 180 unique content words, 150 also in reference. Precision = 83%.</t>
  </si>
  <si>
    <t>≥ 65% on dev set</t>
  </si>
  <si>
    <t>F1 (word) %</t>
  </si>
  <si>
    <t>Harmonic mean of recall and precision: 2 × R × P / (R + P). Single combined score.</t>
  </si>
  <si>
    <t>R=75%, P=83% → F1 = 78.8%.</t>
  </si>
  <si>
    <t>≥ 67% on dev set</t>
  </si>
  <si>
    <t>% of generated steps that contain all 5 required fields: action verb, drawing reference, H/W/S gate, acceptance criteria, responsible party.</t>
  </si>
  <si>
    <t>10 generated steps. 8 have all 5 fields. Schema = 80%.</t>
  </si>
  <si>
    <t>≥ 90% (non-negotiable)</t>
  </si>
  <si>
    <t>Of TCO specs cited in AI output, what % actually exist in your RAG corpus AND are topically appropriate for the step?</t>
  </si>
  <si>
    <t>AI cites 6 specs. 5 exist and apply, 1 doesn't exist. Accuracy = 83%.</t>
  </si>
  <si>
    <t>100% (zero hallucinations)</t>
  </si>
  <si>
    <t>Coverage %</t>
  </si>
  <si>
    <t>% of reference steps the AI included (by intent, not exact wording). Captured at step level not word level.</t>
  </si>
  <si>
    <t>Reference has 12 steps. AI covered 11 of them. Coverage = 92%.</t>
  </si>
  <si>
    <t>≥ 85% on dev set</t>
  </si>
  <si>
    <t>Sequence correctness</t>
  </si>
  <si>
    <t>Binary: PSW steps come before Shop Work steps? Steps within each section in correct order (preliminaries → fabrication → inspection → coating)?</t>
  </si>
  <si>
    <t>AI generated NDE before fabrication = Fail.</t>
  </si>
  <si>
    <t>100% (binary requirement)</t>
  </si>
  <si>
    <t>Subjective metrics (engineer-rated)</t>
  </si>
  <si>
    <t>Overall quality (1-5)</t>
  </si>
  <si>
    <t>Engineer reads the AI output and rates overall acceptability.</t>
  </si>
  <si>
    <t>5 = ready as-is; 4 = minor edits; 3 = significant edits; 2 = mostly wrong; 1 = unusable.</t>
  </si>
  <si>
    <t>Avg ≥ 4.0</t>
  </si>
  <si>
    <t>Is the technical content accurate for the scope described?</t>
  </si>
  <si>
    <t>Yes / No / Partial.</t>
  </si>
  <si>
    <t>≥ 90% Yes</t>
  </si>
  <si>
    <t>Does it cover all the steps a senior engineer would include for this scope?</t>
  </si>
  <si>
    <t>≥ 85% Yes</t>
  </si>
  <si>
    <t>Does it include all safety-critical callouts (PWHT after NDE, hydrogen bake-out for sour service, etc.)?</t>
  </si>
  <si>
    <t>Yes / No / Partial. NO RED FLAGS allowed for Pass.</t>
  </si>
  <si>
    <t>100% Yes (gate)</t>
  </si>
  <si>
    <t>Would this engineer sign this out (with minor edits)?</t>
  </si>
  <si>
    <t>≥ 80% Yes on dev</t>
  </si>
  <si>
    <t>Word similarity helper — Python script</t>
  </si>
  <si>
    <t>7. Summary Dashboard</t>
  </si>
  <si>
    <t>A. Test status overview</t>
  </si>
  <si>
    <t>Value</t>
  </si>
  <si>
    <t>Note</t>
  </si>
  <si>
    <t>Total test cases</t>
  </si>
  <si>
    <t>Auto from Test Cases sheet</t>
  </si>
  <si>
    <t>Dev set count</t>
  </si>
  <si>
    <t>Marked Dev</t>
  </si>
  <si>
    <t>Test set count</t>
  </si>
  <si>
    <t>Marked Hold-out</t>
  </si>
  <si>
    <t>Status: Pending</t>
  </si>
  <si>
    <t>Not yet run</t>
  </si>
  <si>
    <t>Status: Run</t>
  </si>
  <si>
    <t>AI run, not reviewed</t>
  </si>
  <si>
    <t>Status: Reviewed</t>
  </si>
  <si>
    <t>Reviewed by engineer</t>
  </si>
  <si>
    <t>Status: Pass</t>
  </si>
  <si>
    <t>Test passed</t>
  </si>
  <si>
    <t>Status: Fail</t>
  </si>
  <si>
    <t>Test failed</t>
  </si>
  <si>
    <t>B. Average scores across runs</t>
  </si>
  <si>
    <t>Average</t>
  </si>
  <si>
    <t>Target</t>
  </si>
  <si>
    <t>70%</t>
  </si>
  <si>
    <t>Compare avg vs target. Update as runs accumulate.</t>
  </si>
  <si>
    <t>65%</t>
  </si>
  <si>
    <t>Schema score % (avg)</t>
  </si>
  <si>
    <t>90%</t>
  </si>
  <si>
    <t>Citation accuracy % (avg)</t>
  </si>
  <si>
    <t>100%</t>
  </si>
  <si>
    <t>Hallucinated specs total</t>
  </si>
  <si>
    <t>0</t>
  </si>
  <si>
    <t>Engineer overall rating (avg)</t>
  </si>
  <si>
    <t>4.0</t>
  </si>
  <si>
    <t>C. Edge case coverage check (from Test Cases flags)</t>
  </si>
  <si>
    <t>L-SK-01</t>
  </si>
  <si>
    <t>2.1.1. Prior to commencing any fabrication works verify dimensions, pipe routing and field weld locations on site.</t>
  </si>
  <si>
    <t>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Perform PWHT as specified by WPS and per TES PIM-SU-2505
2.2.4. NOTE: Perform NDE and hardness testing only after PWHT!
2.2.5. NOTE: BP must check with MaxTrax admin on NDE requirements prior to commence welding.
2.2.6. Abrasive blast and coat new piping spools and supports per TES COM-SU-5191-TCO.
2.2.7. NOTE: Mask-off field-weld joints and flange faces prior to coating.</t>
  </si>
  <si>
    <t>NOTES</t>
  </si>
  <si>
    <t>150H25(A)/(B) in WPS (different PWHT)</t>
  </si>
  <si>
    <t>150K01, 150K02 no in WPS</t>
  </si>
  <si>
    <t>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Perform PWHT as specified by WPS and per TES PIM-SU-2505.
2.2.4. Perform NDE and hardness testing of shop welds, as specified on drawing 00-YYYY-L-ZZZZ. NOTE: Perform NDE and hardness testing only after PWHT! NOTE: BP must check with MaxTrax admin on NDE requirements prior to commence welding.
2.2.5. Abrasive blast and coat new piping spools and supports per TES COM-SU-5191-TCO. NOTE: Mask-off field-weld joints and flange faces prior to coating.</t>
  </si>
  <si>
    <r>
      <t xml:space="preserve">spool_prefab? Scope_type = for flange replacement </t>
    </r>
    <r>
      <rPr>
        <b/>
        <sz val="9"/>
        <rFont val="Arial"/>
        <family val="2"/>
      </rPr>
      <t>no context, enriched data</t>
    </r>
    <r>
      <rPr>
        <sz val="9"/>
        <rFont val="Arial"/>
        <charset val="1"/>
      </rPr>
      <t xml:space="preserve"> and</t>
    </r>
    <r>
      <rPr>
        <b/>
        <sz val="9"/>
        <rFont val="Arial"/>
        <family val="2"/>
      </rPr>
      <t xml:space="preserve"> spool_prefab</t>
    </r>
    <r>
      <rPr>
        <sz val="9"/>
        <rFont val="Arial"/>
        <charset val="1"/>
      </rPr>
      <t xml:space="preserve"> is true if scope_type = Piping section replacement</t>
    </r>
  </si>
  <si>
    <t>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Perform NDE and hardness testing of shop welds, as specified on drawing 00-YYYY-L-ZZZZ.
2.2.4. NOTE: BP must check with MaxTrax admin on NDE requirements prior to commence welding.
2.2.5. Perform shop hydrostatic testing of flanged spools per TES PIM-SU-3541-TCO.
2.2.6. Abrasive blast and coat new piping spools and supports per TES COM-SU-5191-TCO.
2.2.7. NOTE: Mask-off field-weld joints and flange faces prior to coating.</t>
  </si>
  <si>
    <t>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Perform NDE and hardness testing of shop welds, as specified on drawing 00-YYYY-L-ZZZZ. NOTE: BP must check with MaxTrax admin on NDE requirements prior to commence welding.
2.2.4. Perform shop hydrostatic testing of flanged spools per TES PIM-SU-3541-TCO.
2.2.5. Abrasive blast and coat new piping spools and supports per TES COM-SU-5191-TCO. NOTE: Mask-off field-weld joints and flange faces prior to coating.</t>
  </si>
  <si>
    <t>2.1.1. Prior to start of mechanical activities, perform wall thickness testing at TP-001.
2.1.2. Prior to commencing any fabrication works verify dimensions, pipe routing and field weld locations on site.</t>
  </si>
  <si>
    <r>
      <rPr>
        <b/>
        <sz val="9"/>
        <rFont val="Arial"/>
        <family val="2"/>
      </rPr>
      <t xml:space="preserve">6" </t>
    </r>
    <r>
      <rPr>
        <sz val="9"/>
        <rFont val="Arial"/>
        <charset val="1"/>
      </rPr>
      <t>doeesn't exist in WPS table, it ignores</t>
    </r>
  </si>
  <si>
    <r>
      <t xml:space="preserve">scope_type = </t>
    </r>
    <r>
      <rPr>
        <b/>
        <sz val="9"/>
        <rFont val="Arial"/>
        <family val="2"/>
      </rPr>
      <t>"support replacement"</t>
    </r>
    <r>
      <rPr>
        <sz val="9"/>
        <rFont val="Arial"/>
        <charset val="1"/>
      </rPr>
      <t xml:space="preserve"> add?                                   PSW: Perform NDE at tie-in point </t>
    </r>
    <r>
      <rPr>
        <b/>
        <sz val="9"/>
        <rFont val="Arial"/>
        <family val="2"/>
      </rPr>
      <t>TP EWO 2013037/002</t>
    </r>
    <r>
      <rPr>
        <sz val="9"/>
        <rFont val="Arial"/>
        <charset val="1"/>
      </rPr>
      <t>-&gt;where we should get it?</t>
    </r>
  </si>
  <si>
    <t>not in WPS</t>
  </si>
  <si>
    <r>
      <rPr>
        <b/>
        <sz val="9"/>
        <rFont val="Arial"/>
        <family val="2"/>
      </rPr>
      <t>150H03</t>
    </r>
    <r>
      <rPr>
        <sz val="9"/>
        <rFont val="Arial"/>
        <family val="2"/>
      </rPr>
      <t xml:space="preserve"> not in WPS. TLR single-removal -&gt; l how to define? As a result Shop Work has been generated</t>
    </r>
  </si>
  <si>
    <t>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NOTE: BP must check with MaxTrax admin on NDE requirements prior to commence welding.
2.2.4. Abrasive blast and coat new piping spools and supports per TES COM-SU-5191-TCO.
2.2.5. NOTE: Mask-off field-weld joints and flange faces prior to coating.</t>
  </si>
  <si>
    <r>
      <rPr>
        <b/>
        <sz val="9"/>
        <rFont val="Arial"/>
        <family val="2"/>
      </rPr>
      <t>150H03</t>
    </r>
    <r>
      <rPr>
        <sz val="9"/>
        <rFont val="Arial"/>
        <family val="2"/>
      </rPr>
      <t xml:space="preserve"> not in WPS. PSW difference</t>
    </r>
  </si>
  <si>
    <r>
      <t>Line "3. Perform non-destructive examination (NDE) of shop welds, as specified on isometric drawing 011-0300-LLL-ISO-20040-01." hasn't been generated, bcs</t>
    </r>
    <r>
      <rPr>
        <b/>
        <sz val="9"/>
        <rFont val="Arial"/>
        <family val="2"/>
      </rPr>
      <t xml:space="preserve"> no context </t>
    </r>
    <r>
      <rPr>
        <sz val="9"/>
        <rFont val="Arial"/>
        <family val="2"/>
      </rPr>
      <t>for scope_type</t>
    </r>
  </si>
  <si>
    <r>
      <rPr>
        <b/>
        <sz val="9"/>
        <rFont val="Arial"/>
        <family val="2"/>
      </rPr>
      <t xml:space="preserve">150K01, 150K02 no in WPS. </t>
    </r>
    <r>
      <rPr>
        <sz val="9"/>
        <rFont val="Arial"/>
        <family val="2"/>
      </rPr>
      <t xml:space="preserve">It takes only firtst line class, 150K01. Doesn't support multi-line classes.  Lines "3. Perform post weld heat treatment (PWHT) as specified by WPS and in compliance with TES W-ST-2025." and "NOTE: Perform NDE and hardness testing only after PWHT!" hasn't been generated, bcs I assume that it </t>
    </r>
    <r>
      <rPr>
        <b/>
        <sz val="9"/>
        <rFont val="Arial"/>
        <family val="2"/>
      </rPr>
      <t>links to another line class</t>
    </r>
    <r>
      <rPr>
        <sz val="9"/>
        <rFont val="Arial"/>
        <family val="2"/>
      </rPr>
      <t>?(</t>
    </r>
    <r>
      <rPr>
        <b/>
        <sz val="9"/>
        <rFont val="Arial"/>
        <family val="2"/>
      </rPr>
      <t>outdated</t>
    </r>
    <r>
      <rPr>
        <sz val="9"/>
        <rFont val="Arial"/>
        <family val="2"/>
      </rPr>
      <t>)</t>
    </r>
  </si>
  <si>
    <t>2.1.1. Prior to commencing any fabrication works verify dimensions, pipe routing and field weld locations on site.
2.1.2. NOTE: When allocating FW &amp; FFW locations for machinery [OR] vessel nozzle [OR] PSV — strain considerations apply.
2.1.3. NOTE: Invite Responsible Engineer to verify dimensions / internal configuration / XXX on site, once vessel is isolated.</t>
  </si>
  <si>
    <r>
      <t xml:space="preserve">2.2.5. Perform shop hydrostatic testing of flanged spools per TES PIM-SU-3541-TCO.(scope_type=pipe repleacement) generated (not in reference)
</t>
    </r>
    <r>
      <rPr>
        <b/>
        <sz val="9"/>
        <rFont val="Arial"/>
        <family val="2"/>
      </rPr>
      <t>150H22</t>
    </r>
    <r>
      <rPr>
        <sz val="9"/>
        <rFont val="Arial"/>
        <family val="2"/>
      </rPr>
      <t xml:space="preserve"> not in WPS</t>
    </r>
  </si>
  <si>
    <r>
      <t xml:space="preserve">1. PSW: TP-002 generated (not in reference). 2. scope_type = TLR single-removal or Pipe repl? -&gt; Line "3. Perform non-destructive examination (NDE), as specified on drawing L-SK-002 or coversheet." hasn't been generated (scope_type = undefined)                </t>
    </r>
    <r>
      <rPr>
        <b/>
        <sz val="9"/>
        <rFont val="Arial"/>
        <family val="2"/>
      </rPr>
      <t>150H22</t>
    </r>
    <r>
      <rPr>
        <sz val="9"/>
        <rFont val="Arial"/>
        <family val="2"/>
      </rPr>
      <t xml:space="preserve"> not in WPS</t>
    </r>
  </si>
  <si>
    <r>
      <t xml:space="preserve">Cohort_tag = flange repl, our scope_type = pipe repl.                 </t>
    </r>
    <r>
      <rPr>
        <b/>
        <sz val="9"/>
        <rFont val="Arial"/>
        <family val="2"/>
      </rPr>
      <t>150H22</t>
    </r>
    <r>
      <rPr>
        <sz val="9"/>
        <rFont val="Arial"/>
        <family val="2"/>
      </rPr>
      <t xml:space="preserve"> not in WPS</t>
    </r>
  </si>
  <si>
    <r>
      <t xml:space="preserve">new scope_type = pipe_extension?  In PSW 2.1.2 and 2.1.3 generated. Shop work must be empty.                                                        </t>
    </r>
    <r>
      <rPr>
        <b/>
        <sz val="9"/>
        <rFont val="Arial"/>
        <family val="2"/>
      </rPr>
      <t>150H22</t>
    </r>
    <r>
      <rPr>
        <sz val="9"/>
        <rFont val="Arial"/>
        <family val="2"/>
      </rPr>
      <t xml:space="preserve"> not in WPS</t>
    </r>
  </si>
  <si>
    <r>
      <t xml:space="preserve">Cohort_tag = TLR multi-removal, our scope_type = pipe repl.                 </t>
    </r>
    <r>
      <rPr>
        <b/>
        <sz val="9"/>
        <rFont val="Arial"/>
        <family val="2"/>
      </rPr>
      <t>150H22</t>
    </r>
    <r>
      <rPr>
        <sz val="9"/>
        <rFont val="Arial"/>
        <family val="2"/>
      </rPr>
      <t xml:space="preserve"> not in WPS</t>
    </r>
  </si>
  <si>
    <r>
      <t xml:space="preserve">Cohort_tag =  flange repl, our scope_type = undefined               </t>
    </r>
    <r>
      <rPr>
        <b/>
        <sz val="9"/>
        <rFont val="Arial"/>
        <family val="2"/>
      </rPr>
      <t>900H22</t>
    </r>
    <r>
      <rPr>
        <sz val="9"/>
        <rFont val="Arial"/>
        <family val="2"/>
      </rPr>
      <t xml:space="preserve"> not in WPS.                                                                                 PSW: </t>
    </r>
    <r>
      <rPr>
        <b/>
        <sz val="9"/>
        <rFont val="Arial"/>
        <family val="2"/>
      </rPr>
      <t>TP-002, TP-003</t>
    </r>
    <r>
      <rPr>
        <sz val="9"/>
        <rFont val="Arial"/>
        <family val="2"/>
      </rPr>
      <t xml:space="preserve"> is missing in context</t>
    </r>
  </si>
  <si>
    <t xml:space="preserve">2.1.1. Prior to commencing any fabrication works verify dimensions, pipe routing and field weld locations on site.
</t>
  </si>
  <si>
    <r>
      <t xml:space="preserve">Cohort_tag = </t>
    </r>
    <r>
      <rPr>
        <b/>
        <sz val="9"/>
        <rFont val="Arial"/>
        <family val="2"/>
      </rPr>
      <t>Elbow replacement</t>
    </r>
    <r>
      <rPr>
        <sz val="9"/>
        <rFont val="Arial"/>
        <family val="2"/>
      </rPr>
      <t xml:space="preserve">, our scope_type = undefined. We have to add as </t>
    </r>
    <r>
      <rPr>
        <b/>
        <sz val="9"/>
        <rFont val="Arial"/>
        <family val="2"/>
      </rPr>
      <t>new scope_type?</t>
    </r>
    <r>
      <rPr>
        <sz val="9"/>
        <rFont val="Arial"/>
        <family val="2"/>
      </rPr>
      <t xml:space="preserve">                                                          </t>
    </r>
    <r>
      <rPr>
        <b/>
        <sz val="9"/>
        <rFont val="Arial"/>
        <family val="2"/>
      </rPr>
      <t>150H22</t>
    </r>
    <r>
      <rPr>
        <sz val="9"/>
        <rFont val="Arial"/>
        <family val="2"/>
      </rPr>
      <t xml:space="preserve"> not in WPS</t>
    </r>
  </si>
  <si>
    <r>
      <t xml:space="preserve">Cohort_tag = </t>
    </r>
    <r>
      <rPr>
        <b/>
        <sz val="9"/>
        <rFont val="Arial"/>
        <family val="2"/>
      </rPr>
      <t>TLR single-removal</t>
    </r>
    <r>
      <rPr>
        <sz val="9"/>
        <rFont val="Arial"/>
        <family val="2"/>
      </rPr>
      <t xml:space="preserve">, our scope_type = undefined. Therefore line "3. Perform non-destructive examination (NDE), as specified on drawing L-SK-002 or coversheet." hasn't been generated. </t>
    </r>
    <r>
      <rPr>
        <b/>
        <sz val="9"/>
        <rFont val="Arial"/>
        <family val="2"/>
      </rPr>
      <t>150H22</t>
    </r>
    <r>
      <rPr>
        <sz val="9"/>
        <rFont val="Arial"/>
        <family val="2"/>
      </rPr>
      <t xml:space="preserve"> not in WPS</t>
    </r>
  </si>
  <si>
    <r>
      <t xml:space="preserve">Cohort_tag = </t>
    </r>
    <r>
      <rPr>
        <b/>
        <sz val="9"/>
        <rFont val="Arial"/>
        <family val="2"/>
      </rPr>
      <t>TLR single-removal</t>
    </r>
    <r>
      <rPr>
        <sz val="9"/>
        <rFont val="Arial"/>
        <family val="2"/>
      </rPr>
      <t xml:space="preserve">, our scope_type = pipe repl.                 </t>
    </r>
    <r>
      <rPr>
        <b/>
        <sz val="9"/>
        <rFont val="Arial"/>
        <family val="2"/>
      </rPr>
      <t>150H22</t>
    </r>
    <r>
      <rPr>
        <sz val="9"/>
        <rFont val="Arial"/>
        <family val="2"/>
      </rPr>
      <t xml:space="preserve"> not in WPS</t>
    </r>
  </si>
  <si>
    <r>
      <t xml:space="preserve">Cohort_tag = </t>
    </r>
    <r>
      <rPr>
        <b/>
        <sz val="9"/>
        <rFont val="Arial"/>
        <family val="2"/>
      </rPr>
      <t>TLR multi-removal</t>
    </r>
    <r>
      <rPr>
        <sz val="9"/>
        <rFont val="Arial"/>
        <family val="2"/>
      </rPr>
      <t xml:space="preserve">, our scope_type = pipe repl. Therefore lines "2.2.3. Perform NDE and hardness testing of shop welds, as specified on drawing 00-YYYY-L-ZZZZ." and "2.2.4. Perform shop hydrostatic testing of flanged spools per TES PIM-SU-3541-TCO.." has been generated.                                                  </t>
    </r>
    <r>
      <rPr>
        <b/>
        <sz val="9"/>
        <rFont val="Arial"/>
        <family val="2"/>
      </rPr>
      <t>150H22</t>
    </r>
    <r>
      <rPr>
        <sz val="9"/>
        <rFont val="Arial"/>
        <family val="2"/>
      </rPr>
      <t xml:space="preserve"> not in WPS</t>
    </r>
  </si>
  <si>
    <r>
      <t xml:space="preserve">Cohort_tag = </t>
    </r>
    <r>
      <rPr>
        <b/>
        <sz val="9"/>
        <rFont val="Arial"/>
        <family val="2"/>
      </rPr>
      <t>TLR single-removal</t>
    </r>
    <r>
      <rPr>
        <sz val="9"/>
        <rFont val="Arial"/>
        <family val="2"/>
      </rPr>
      <t xml:space="preserve">, our scope_type = pipe repl. Therefore lines "2.2.3. Perform NDE and hardness testing of shop welds, as specified on drawing 00-YYYY-L-ZZZZ." and "2.2.4. Perform shop hydrostatic testing of flanged spools per TES PIM-SU-3541-TCO.." has been generated.                                                  </t>
    </r>
    <r>
      <rPr>
        <b/>
        <sz val="9"/>
        <rFont val="Arial"/>
        <family val="2"/>
      </rPr>
      <t>150H22</t>
    </r>
    <r>
      <rPr>
        <sz val="9"/>
        <rFont val="Arial"/>
        <family val="2"/>
      </rPr>
      <t xml:space="preserve"> not in WPS</t>
    </r>
  </si>
  <si>
    <r>
      <t xml:space="preserve">Cohort_tag = </t>
    </r>
    <r>
      <rPr>
        <b/>
        <sz val="9"/>
        <rFont val="Arial"/>
        <family val="2"/>
      </rPr>
      <t>TLR single-removal</t>
    </r>
    <r>
      <rPr>
        <sz val="9"/>
        <rFont val="Arial"/>
        <family val="2"/>
      </rPr>
      <t xml:space="preserve">, our scope_type = undefined. I guess it should be </t>
    </r>
    <r>
      <rPr>
        <b/>
        <sz val="9"/>
        <rFont val="Arial"/>
        <family val="2"/>
      </rPr>
      <t>flange repl.</t>
    </r>
    <r>
      <rPr>
        <sz val="9"/>
        <rFont val="Arial"/>
        <family val="2"/>
      </rPr>
      <t xml:space="preserve"> Therefore line "3. Perform non-destructive examination (NDE), as specified on drawing L-SK-002 or coversheet." hasn't been generated. </t>
    </r>
    <r>
      <rPr>
        <b/>
        <sz val="9"/>
        <rFont val="Arial"/>
        <family val="2"/>
      </rPr>
      <t>150H22</t>
    </r>
    <r>
      <rPr>
        <sz val="9"/>
        <rFont val="Arial"/>
        <family val="2"/>
      </rPr>
      <t xml:space="preserve"> not in WPS</t>
    </r>
  </si>
  <si>
    <t xml:space="preserve">2.2.1. Withdraw materials required for this Job Pack from TCO Warehouse according to Material Request(s).
2.2.2. Prefabricate pipe spools and pipe supports, as per isometric drawing(s) 00-YYYY-L-ZZZZ. Use TCO-approved Welding Procedure Specification(s) (WPSs) indicated on isometric drawing(s). BP shall comply with TCO Guideline 16-0015-MI for socket-welded joints.
2.2.3. Perform NDE and hardness testing of shop welds, as specified on drawing 00-YYYY-L-ZZZZ. NOTE: BP must check with MaxTrax admin on NDE requirements prior to commence welding.
2.2.4. Perform shop hydrostatic testing of flanged spools per TES PIM-SU-3541-TCO.
2.2.5. Abrasive blast and coat new piping spools and supports per TES COM-SU-5191-TCO. NOTE: Mask-off field-weld joints and flange faces prior to coating.
</t>
  </si>
  <si>
    <r>
      <t xml:space="preserve">Cohort_tag = </t>
    </r>
    <r>
      <rPr>
        <b/>
        <sz val="9"/>
        <rFont val="Arial"/>
        <family val="2"/>
      </rPr>
      <t>TLR single-removal</t>
    </r>
    <r>
      <rPr>
        <sz val="9"/>
        <rFont val="Arial"/>
        <family val="2"/>
      </rPr>
      <t xml:space="preserve">, our scope_type = pipe repl.                 </t>
    </r>
    <r>
      <rPr>
        <b/>
        <sz val="9"/>
        <rFont val="Arial"/>
        <family val="2"/>
      </rPr>
      <t>150H22</t>
    </r>
    <r>
      <rPr>
        <sz val="9"/>
        <rFont val="Arial"/>
        <family val="2"/>
      </rPr>
      <t xml:space="preserve"> not in WPS                                                                                 </t>
    </r>
    <r>
      <rPr>
        <b/>
        <sz val="9"/>
        <rFont val="Arial"/>
        <family val="2"/>
      </rPr>
      <t>PSW</t>
    </r>
    <r>
      <rPr>
        <sz val="9"/>
        <rFont val="Arial"/>
        <family val="2"/>
      </rPr>
      <t>:"1. Prior to the start of the mechanical activities, perform wall thickness testing at tie-in points shown in sketch drawing L-SK-001" hasn't been generated</t>
    </r>
  </si>
  <si>
    <r>
      <t xml:space="preserve">Cohort_tag = </t>
    </r>
    <r>
      <rPr>
        <b/>
        <sz val="9"/>
        <rFont val="Arial"/>
        <family val="2"/>
      </rPr>
      <t>TLR single-removal</t>
    </r>
    <r>
      <rPr>
        <sz val="9"/>
        <rFont val="Arial"/>
        <family val="2"/>
      </rPr>
      <t xml:space="preserve">, our scope_type = pipe repl.                 </t>
    </r>
    <r>
      <rPr>
        <b/>
        <sz val="9"/>
        <rFont val="Arial"/>
        <family val="2"/>
      </rPr>
      <t>150H22</t>
    </r>
    <r>
      <rPr>
        <sz val="9"/>
        <rFont val="Arial"/>
        <family val="2"/>
      </rPr>
      <t xml:space="preserve"> not in WPS                                                                                </t>
    </r>
  </si>
  <si>
    <r>
      <t xml:space="preserve">Cohort_tag = </t>
    </r>
    <r>
      <rPr>
        <b/>
        <sz val="9"/>
        <rFont val="Arial"/>
        <family val="2"/>
      </rPr>
      <t>TLR multi-removal</t>
    </r>
    <r>
      <rPr>
        <sz val="9"/>
        <rFont val="Arial"/>
        <family val="2"/>
      </rPr>
      <t xml:space="preserve">, our scope_type = undefined (no context). </t>
    </r>
    <r>
      <rPr>
        <b/>
        <sz val="9"/>
        <rFont val="Arial"/>
        <family val="2"/>
      </rPr>
      <t>PSW</t>
    </r>
    <r>
      <rPr>
        <sz val="9"/>
        <rFont val="Arial"/>
        <family val="2"/>
      </rPr>
      <t xml:space="preserve">: different format of TP's                                                   </t>
    </r>
    <r>
      <rPr>
        <b/>
        <sz val="9"/>
        <rFont val="Arial"/>
        <family val="2"/>
      </rPr>
      <t>150H03</t>
    </r>
    <r>
      <rPr>
        <sz val="9"/>
        <rFont val="Arial"/>
        <family val="2"/>
      </rPr>
      <t xml:space="preserve"> not in WPS                                                                                </t>
    </r>
  </si>
  <si>
    <r>
      <rPr>
        <b/>
        <sz val="9"/>
        <rFont val="Arial"/>
        <family val="2"/>
      </rPr>
      <t>jacket pipe spools/shop welds</t>
    </r>
    <r>
      <rPr>
        <sz val="9"/>
        <rFont val="Arial"/>
        <family val="2"/>
      </rPr>
      <t xml:space="preserve"> need to consider another case.                                             </t>
    </r>
    <r>
      <rPr>
        <b/>
        <sz val="9"/>
        <rFont val="Arial"/>
        <family val="2"/>
      </rPr>
      <t>150H09</t>
    </r>
    <r>
      <rPr>
        <sz val="9"/>
        <rFont val="Arial"/>
        <family val="2"/>
      </rPr>
      <t xml:space="preserve"> not in WPS                                                                                </t>
    </r>
  </si>
  <si>
    <t>300H21(A)/(B) in WPS (different PWHT)</t>
  </si>
  <si>
    <r>
      <t xml:space="preserve">In WPS table there is </t>
    </r>
    <r>
      <rPr>
        <b/>
        <sz val="9"/>
        <rFont val="Arial"/>
        <family val="2"/>
      </rPr>
      <t>150H25 (A) / (B)</t>
    </r>
    <r>
      <rPr>
        <sz val="9"/>
        <rFont val="Arial"/>
        <charset val="1"/>
      </rPr>
      <t xml:space="preserve"> that has 2 different PWHT values. We should define correct, need to create pattern, condition. Also, scope_type is not defined, therefore spool_prefab = False, bsc </t>
    </r>
    <r>
      <rPr>
        <b/>
        <sz val="9"/>
        <rFont val="Arial"/>
        <family val="2"/>
      </rPr>
      <t>no context</t>
    </r>
    <r>
      <rPr>
        <sz val="9"/>
        <rFont val="Arial"/>
        <charset val="1"/>
      </rPr>
      <t>. So, line "4. Perform non-destructive examination (NDE) and hardness testing of shop welds, as specified on L-SK002." doesn't generated.</t>
    </r>
  </si>
  <si>
    <r>
      <rPr>
        <b/>
        <sz val="9"/>
        <rFont val="Arial"/>
        <family val="2"/>
      </rPr>
      <t>Diameter 4" doesn't</t>
    </r>
    <r>
      <rPr>
        <sz val="9"/>
        <rFont val="Arial"/>
        <family val="2"/>
      </rPr>
      <t xml:space="preserve"> exist in WPS table.                                            In WPS table there is </t>
    </r>
    <r>
      <rPr>
        <b/>
        <sz val="9"/>
        <rFont val="Arial"/>
        <family val="2"/>
      </rPr>
      <t>300H21 (A) / (B)</t>
    </r>
    <r>
      <rPr>
        <sz val="9"/>
        <rFont val="Arial"/>
        <charset val="1"/>
      </rPr>
      <t xml:space="preserve"> that has 2 different PWHT values. We should define correct, need to create pattern, condition. Also, scope_type is not defined, </t>
    </r>
    <r>
      <rPr>
        <b/>
        <sz val="9"/>
        <rFont val="Arial"/>
        <family val="2"/>
      </rPr>
      <t xml:space="preserve">Tee/branch repl </t>
    </r>
    <r>
      <rPr>
        <sz val="9"/>
        <rFont val="Arial"/>
        <family val="2"/>
      </rPr>
      <t xml:space="preserve">is </t>
    </r>
    <r>
      <rPr>
        <b/>
        <sz val="9"/>
        <rFont val="Arial"/>
        <family val="2"/>
      </rPr>
      <t>new scope_type?</t>
    </r>
  </si>
  <si>
    <t>2.2.1. Withdraw materials required for this Job Pack from TCO Warehouse according to Material Request(s).
2.2.2. Perform Positive Material Identification (PMI) as per TCO RE QM SWP-20 Procedure on all corrosion resistant alloy (CRA) materials and weld consumables.
2.2.3. Prefabricate pipe spools and pipe supports, as per isometric drawing(s) 00-YYYY-L-ZZZZ. Use TCO-approved Welding Procedure Specification(s) (WPSs) indicated on isometric drawing(s). BP shall comply with TCO Guideline 16-0015-MI for socket-welded joints.
2.2.4. NOTE: BP must check with MaxTrax admin on NDE requirements prior to commence welding.
2.2.5. NOTE: Test water for SS-300 piping shall be &lt; 50 ppm chloride.</t>
  </si>
  <si>
    <r>
      <t xml:space="preserve">Cohort_tag = </t>
    </r>
    <r>
      <rPr>
        <b/>
        <sz val="9"/>
        <rFont val="Arial"/>
        <family val="2"/>
      </rPr>
      <t>Flange repl</t>
    </r>
    <r>
      <rPr>
        <sz val="9"/>
        <rFont val="Arial"/>
        <family val="2"/>
      </rPr>
      <t xml:space="preserve">, our scope_type = undefined.                 </t>
    </r>
    <r>
      <rPr>
        <b/>
        <sz val="9"/>
        <rFont val="Arial"/>
        <family val="2"/>
      </rPr>
      <t>150P01</t>
    </r>
    <r>
      <rPr>
        <sz val="9"/>
        <rFont val="Arial"/>
        <family val="2"/>
      </rPr>
      <t xml:space="preserve"> not in WPS. Shop Work is totally different. Material     </t>
    </r>
    <r>
      <rPr>
        <b/>
        <sz val="9"/>
        <rFont val="Arial"/>
        <family val="2"/>
      </rPr>
      <t xml:space="preserve">316/L SS </t>
    </r>
    <r>
      <rPr>
        <sz val="9"/>
        <rFont val="Arial"/>
        <family val="2"/>
      </rPr>
      <t xml:space="preserve">we classified it as "SS", not "CS". Therefore, generated </t>
    </r>
    <r>
      <rPr>
        <b/>
        <sz val="9"/>
        <rFont val="Arial"/>
        <family val="2"/>
      </rPr>
      <t xml:space="preserve">Test water for SS-300 piping shall be &lt; 50 ppm chloride. </t>
    </r>
    <r>
      <rPr>
        <sz val="9"/>
        <rFont val="Arial"/>
        <family val="2"/>
      </rPr>
      <t xml:space="preserve">But in reference </t>
    </r>
    <r>
      <rPr>
        <b/>
        <sz val="9"/>
        <rFont val="Arial"/>
        <family val="2"/>
      </rPr>
      <t xml:space="preserve">"Abrasive blast ..."                                   </t>
    </r>
    <r>
      <rPr>
        <sz val="9"/>
        <rFont val="Arial"/>
        <family val="2"/>
      </rPr>
      <t xml:space="preserve">                                      </t>
    </r>
  </si>
  <si>
    <t>Same as TC-031 and added more unseen, new lines</t>
  </si>
  <si>
    <r>
      <t xml:space="preserve">scope_type = undefined. </t>
    </r>
    <r>
      <rPr>
        <b/>
        <sz val="9"/>
        <rFont val="Arial"/>
        <family val="2"/>
      </rPr>
      <t>No context. TP is not fully given. 150H22 not in WPS</t>
    </r>
  </si>
  <si>
    <t>2.1.1. Prior to start of mechanical activities, perform wall thickness testing at TP-001 and TP-002.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</si>
  <si>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</si>
  <si>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TP-001/002.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</si>
  <si>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TP-002.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</si>
  <si>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TP-001/002/003/004 and TP-005.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</si>
  <si>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</si>
  <si>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 TP-002, TP-003.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</si>
  <si>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TP25-0086/001 and TP25-0086/002.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</si>
  <si>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TP25-0087/001, TP25-0087/002, TP25-0087/003.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</si>
  <si>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TP25-0120/003.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</si>
  <si>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 TP-002, TP-003, TP25-0464/001.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</si>
  <si>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TP2107. NOTE: Perform the wall thickness test by marking out and recording a matrix as directed by the TCO FER Unit Inspector.
2.1.2. Prior to commencing any fabrication works verify dimensions, pipe routing and field weld locations on site.</t>
  </si>
  <si>
    <t>O-3200-FG4027-4"-300H21-NI</t>
  </si>
  <si>
    <t>ID001</t>
  </si>
  <si>
    <r>
      <t xml:space="preserve">X60.WP.3.3009.2.150P01. It is advised to fabricate two pipe spools </t>
    </r>
    <r>
      <rPr>
        <b/>
        <sz val="9"/>
        <rFont val="Arial"/>
        <family val="2"/>
      </rPr>
      <t>with flanges</t>
    </r>
    <r>
      <rPr>
        <sz val="9"/>
        <rFont val="Arial"/>
        <family val="2"/>
      </rPr>
      <t xml:space="preserve"> according to recommended scope. Tie-ins at [tie-in IDs TBD]. [insulation tbd], no heat tracing. Process conditions: Pdes [TBD], Poper [TBD], Tdes [TBD], Toper [TBD].</t>
    </r>
  </si>
  <si>
    <t>PSW Recall %</t>
  </si>
  <si>
    <t>PSW F1 %</t>
  </si>
  <si>
    <t>Shop Recall %</t>
  </si>
  <si>
    <t>Shop Precision %</t>
  </si>
  <si>
    <t>Shop F1 %</t>
  </si>
  <si>
    <t>PSW Precision %</t>
  </si>
  <si>
    <t>F1 score (PSW)</t>
  </si>
  <si>
    <t>F1 score (Shop)</t>
  </si>
  <si>
    <t>Of the words in the reference EWO output, what fraction appear in the AI output? Formula: (matched_words / reference_words) × 100.  Note: stop-word removal and stemming is utilized.</t>
  </si>
  <si>
    <t>Word similarity</t>
  </si>
  <si>
    <r>
      <t>Recall % (</t>
    </r>
    <r>
      <rPr>
        <b/>
        <sz val="10"/>
        <rFont val="Arial"/>
        <family val="2"/>
      </rPr>
      <t>PSW</t>
    </r>
    <r>
      <rPr>
        <sz val="10"/>
        <rFont val="Arial"/>
        <family val="2"/>
      </rPr>
      <t xml:space="preserve"> avg)</t>
    </r>
  </si>
  <si>
    <r>
      <t>Recall % (</t>
    </r>
    <r>
      <rPr>
        <b/>
        <sz val="10"/>
        <rFont val="Arial"/>
        <family val="2"/>
      </rPr>
      <t>Shop</t>
    </r>
    <r>
      <rPr>
        <sz val="10"/>
        <rFont val="Arial"/>
        <family val="2"/>
      </rPr>
      <t xml:space="preserve"> avg)</t>
    </r>
  </si>
  <si>
    <r>
      <t>Precision % (</t>
    </r>
    <r>
      <rPr>
        <b/>
        <sz val="10"/>
        <rFont val="Arial"/>
        <family val="2"/>
      </rPr>
      <t xml:space="preserve">PSW </t>
    </r>
    <r>
      <rPr>
        <sz val="10"/>
        <rFont val="Arial"/>
        <family val="2"/>
      </rPr>
      <t>avg)</t>
    </r>
  </si>
  <si>
    <r>
      <t>Precision % (</t>
    </r>
    <r>
      <rPr>
        <b/>
        <sz val="10"/>
        <rFont val="Arial"/>
        <family val="2"/>
      </rPr>
      <t xml:space="preserve">Shop </t>
    </r>
    <r>
      <rPr>
        <sz val="10"/>
        <rFont val="Arial"/>
        <family val="2"/>
      </rPr>
      <t>avg)</t>
    </r>
  </si>
  <si>
    <t>ID002</t>
  </si>
  <si>
    <t>19/06/2026</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</si>
  <si>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PWHT as specified by WPS and per TES PIM-SU-2505.
2.2.4. Perform non-destructive examination (NDE) and hardness testing of shop welds, as specified on drawing 00-YYYY-L-ZZZZ.
2.2.5. NOTE: Perform NDE and hardness testing only after PWHT!
2.2.6. NOTE: BP must check with MaxTrax admin on NDE requirements prior to commence welding works.
2.2.7. Perform shop hydrostatic testing of flanged spools as specified on isometric drawing(s) 00-YYYY-L-ZZZZ in accordance with TES PIM-SU-3541-TCO.
2.2.8. Abrasive blast and coat new piping spools and supports, as specified on isometric drawing 00-YYYY-L-ZZZZ in accordance with TES COM-SU-5191-TCO.
2.2.9. NOTE: Mask-off field-weld joints and flange faces prior to coating.</t>
  </si>
  <si>
    <t>150K01 links to 150K21. Works well.</t>
  </si>
  <si>
    <t>2.1.1. Prior to start of mechanical activities, perform wall thickness testing at TP-002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</si>
  <si>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non-destructive examination (NDE) as specified on drawing 00-YYYY-L-ZZZZ. NOTE: BP must check with MaxTrax admin on NDE requirements prior to commence welding works.
2.2.4. Perform shop hydrostatic testing of flanged spools as specified on isometric drawing(s) 00-YYYY-L-ZZZZ in accordance with TES PIM-SU-3541-TCO.
2.2.5. Abrasive blast and coat new piping spools and supports, as specified on isometric drawing 00-YYYY-L-ZZZZ in accordance with TES COM-SU-5191-TCO. NOTE: Mask-off field-weld joints and flange faces prior to coating.</t>
  </si>
  <si>
    <t>150H22 links to 150H25 (B).</t>
  </si>
  <si>
    <t>2.1.1. Prior to start of mechanical activities, perform wall thickness testing at TP-001, TP-002, TP-003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</si>
  <si>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r>
      <rPr>
        <b/>
        <sz val="9"/>
        <rFont val="Arial"/>
        <family val="2"/>
      </rPr>
      <t>150H22</t>
    </r>
    <r>
      <rPr>
        <sz val="9"/>
        <rFont val="Arial"/>
        <family val="2"/>
      </rPr>
      <t xml:space="preserve"> not in WPS, scope_type = pipe repl</t>
    </r>
  </si>
  <si>
    <t>2.1.1. Prior to start of mechanical activities, perform wall thickness testing at TP-001 and TP-002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</si>
  <si>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PWHT as specified by WPS and per TES PIM-SU-2505.
2.2.4. Perform non-destructive examination (NDE) and hardness testing of shop welds, as specified on drawing 00-YYYY-L-ZZZZ. NOTE: Perform NDE and hardness testing only after PWHT! NOTE: BP must check with MaxTrax admin on NDE requirements prior to commence welding works.
2.2.5. Perform shop hydrostatic testing of flanged spools as specified on isometric drawing(s) 00-YYYY-L-ZZZZ in accordance with TES PIM-SU-3541-TCO.
2.2.6. Abrasive blast and coat new piping spools and supports, as specified on isometric drawing 00-YYYY-L-ZZZZ in accordance with TES COM-SU-5191-TCO. NOTE: Mask-off field-weld joints and flange faces prior to coating.</t>
  </si>
  <si>
    <t>150H25 links to 150H25 (A) due to CCS fluid code</t>
  </si>
  <si>
    <t>works perfect</t>
  </si>
  <si>
    <t>2.1.1. Prior to start of mechanical activities, perform wall thickness testing at TP2107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</si>
  <si>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No context. TP is not fully given, typed manually 'pipe repl'.     150H22 links to "150H25 (B)"</t>
  </si>
  <si>
    <t>6" doeesn't exist in WPS table. To continue debugging, manually typed most closer value, changed to 3".</t>
  </si>
  <si>
    <t>2.1.1. Prior to start of mechanical activities, perform wall thickness testing at TP-001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</si>
  <si>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non-destructive examination (NDE) as specified on drawing 00-YYYY-L-ZZZZ. NOTE: BP must check with MaxTrax admin on NDE requirements prior to commence welding works.
2.2.4. Abrasive blast and coat new piping spools and supports, as specified on isometric drawing 00-YYYY-L-ZZZZ in accordance with TES COM-SU-5191-TCO. NOTE: Mask-off field-weld joints and flange faces prior to coating.</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</si>
  <si>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non-destructive examination (NDE) as specified on drawing 00-YYYY-L-ZZZZ.
2.2.4. NOTE: BP must check with MaxTrax admin on NDE requirements prior to commence welding works.
2.2.5. Abrasive blast and coat new piping spools and supports, as specified on isometric drawing 00-YYYY-L-ZZZZ in accordance with TES COM-SU-5191-TCO.
2.2.6. NOTE: Mask-off field-weld joints and flange faces prior to coating.</t>
  </si>
  <si>
    <t>new scope_type='TLR' was created. As a result of visual inspection I decided to add by default following lines would be generated 'Prefabricate pipe spools… and Perfrom NDE...' procedures excluding 'shop hydrostatic testing'.150H03 links to "150H25 (B)".</t>
  </si>
  <si>
    <t>150H03 links to "150H25 (B)"</t>
  </si>
  <si>
    <t>2.1.1. Prior to start of mechanical activities, perform wall thickness testing at TP-001/002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</si>
  <si>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No context for scope_type. Added scope_type as 'TLR' to the prompt on 2nd try. 150H03 links to "150H25 (B)"</t>
  </si>
  <si>
    <t>150H22 links to 150H25 (B). Works well</t>
  </si>
  <si>
    <t>Added scope_type as 'TLR' to the prompt on 2nd try. 150H22 links to "150H25 (B)"</t>
  </si>
  <si>
    <t>scope_type recognized as 'pipe repl'. 150H22 links to "150H25 (B)"</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</si>
  <si>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non-destructive examination (NDE) as specified on drawing 00-YYYY-L-ZZZZ.
2.2.4. NOTE: BP must check with MaxTrax admin on NDE requirements prior to commence welding works.
2.2.5. Perform shop hydrostatic testing of flanged spools as specified on isometric drawing(s) 00-YYYY-L-ZZZZ in accordance with TES PIM-SU-3541-TCO.
2.2.6. Abrasive blast and coat new piping spools and supports, as specified on isometric drawing 00-YYYY-L-ZZZZ in accordance with TES COM-SU-5191-TCO.
2.2.7. NOTE: Mask-off field-weld joints and flange faces prior to coating.</t>
  </si>
  <si>
    <t>ID002.1</t>
  </si>
  <si>
    <t>From first try scope_type = 'TLR' recognized. 150H22 links to "150H25 (B)"</t>
  </si>
  <si>
    <t>From first try scope_type = 'TLR' recognized. 150H22 links to "150H25 (B)". Works perfect</t>
  </si>
  <si>
    <t>2.1.1. Prior to start of mechanical activities, perform wall thickness testing at TP25-0086/001 and TP25-0086/002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</si>
  <si>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TP25-0087/001, TP25-0087/002, TP25-0087/003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</si>
  <si>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150H22 links to 150H25 (B), scope type = 'TLR' due to presence of word 'clamp'</t>
  </si>
  <si>
    <t>2.1.1. Prior to start of mechanical activities, perform wall thickness testing at TP25-0120/003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</si>
  <si>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2.1.1. Prior to start of mechanical activities, perform wall thickness testing at TP-001, TP-002, TP-003, TP25-0464/001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</si>
  <si>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From first try scope_type = 'TLR' recognized. 150H03 links to "150H25 (B)"</t>
  </si>
  <si>
    <t xml:space="preserve">150H22 links to 150H25 (B). Identifies scope_type = pipe repl.     </t>
  </si>
  <si>
    <t>2.1.1. Prior to start of mechanical activities, perform wall thickness testing at TP-001/002/003/004 and TP-005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</si>
  <si>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150H22 links to 150H25 (B). Added scope_type as 'Flange repl' to the prompt on 2nd try.</t>
  </si>
  <si>
    <t>900H22 links to 900H21. Flange repl</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</si>
  <si>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PWHT as specified by WPS and per TES PIM-SU-2505.
2.2.4. Perform non-destructive examination (NDE) and hardness testing of shop welds, as specified on drawing 00-YYYY-L-ZZZZ.
2.2.5. NOTE: Perform NDE and hardness testing only after PWHT!
2.2.6. NOTE: BP must check with MaxTrax admin on NDE requirements prior to commence welding works.
2.2.7. Abrasive blast and coat new piping spools and supports, as specified on isometric drawing 00-YYYY-L-ZZZZ in accordance with TES COM-SU-5191-TCO.
2.2.8. NOTE: Mask-off field-weld joints and flange faces prior to coating.</t>
  </si>
  <si>
    <t>no context, mannually entered 'pipe repl'.</t>
  </si>
  <si>
    <t>no context, mannually entered 'flange repl'.</t>
  </si>
  <si>
    <t>2.2.1. Withdraw materials required for this Job Pack from TCO Warehouse according to Material Request(s).
2.2.2. Perform Positive Material Identification (PMI) as per TCO RE QM SWP-20 Procedure on all corrosion resistant alloy (CRA) materials and weld consumables.
2.2.3. Prefabricate pipe spools as per isometric drawing(s) 00-YYYY-L-ZZZZ. Use TCO-approved Welding Procedure Specification(s) (WPSs) indicated on isometric drawing(s). BP shall comply with TCO Guideline 16-0015-MI for socket-welded joints.
2.2.4. Perform non-destructive examination (NDE) as specified on drawing 00-YYYY-L-ZZZZ.
2.2.5. NOTE: BP must check with MaxTrax admin on NDE requirements prior to commence welding works.
2.2.6. Perform shop hydrostatic testing of flanged spools as specified on isometric drawing(s) 00-YYYY-L-ZZZZ in accordance with TES PIM-SU-3541-TCO.
2.2.7. NOTE: Test water used for 300-series stainless steel piping shall be water with chloride content of less than 50 ppm. Perform Water Sampling and Analysis per TES PIM-SU-3541-TCO Section 5.</t>
  </si>
  <si>
    <t>2.2.1. Withdraw materials required for this Job Pack from TCO Warehouse according to Material Request(s).
2.2.2. Perform Positive Material Identification (PMI) as per TCO RE QM SWP-20 Procedure on all corrosion resistant alloy (CRA) materials and weld consumables.
2.2.3. Prefabricate pipe spools as per isometric drawing(s) 00-YYYY-L-ZZZZ. Use TCO-approved Welding Procedure Specification(s) (WPSs) indicated on isometric drawing(s). BP shall comply with TCO Guideline 16-0015-MI for socket-welded joints.
2.2.4. Perform non-destructive examination (NDE) as specified on drawing 00-YYYY-L-ZZZZ.
2.2.5. NOTE: BP must check with MaxTrax admin on NDE requirements prior to commence welding works.</t>
  </si>
  <si>
    <t>no context, mannually entered 'pipe repl'. To 150P21 was linked</t>
  </si>
  <si>
    <t>no context, mannually entered 'flange repl'. To 150P21 was linked</t>
  </si>
  <si>
    <t>2.2.1. Withdraw materials required for this Job Pack from TCO Warehouse according to Material Request(s).
2.2.2. Perform Positive Material Identification (PMI) as per TCO RE QM SWP-20 Procedure on all corrosion resistant alloy (CRA) materials and weld consumables.
2.2.3. Prefabricate pipe spools as per isometric drawing(s) 00-YYYY-L-ZZZZ. Use TCO-approved Welding Procedure Specification(s) (WPSs) indicated on isometric drawing(s). BP shall comply with TCO Guideline 16-0015-MI for socket-welded joints.
2.2.4. Perform non-destructive examination (NDE) as specified on drawing 00-YYYY-L-ZZZZ. NOTE: BP must check with MaxTrax admin on NDE requirements prior to commence welding works.</t>
  </si>
  <si>
    <t>2.2.1. Withdraw materials required for this Job Pack from TCO Warehouse according to Material Request(s).
2.2.2. Abrasive blast and coat new piping spools and supports, as specified on isometric drawing 00-YYYY-L-ZZZZ in accordance with TES COM-SU-5191-TCO. NOTE: Mask-off field-weld joints and flange faces prior to coating.</t>
  </si>
  <si>
    <t>added scope_type 'Elbow replacement'.                                                  150H22 links to "150H25 (B)"</t>
  </si>
  <si>
    <t>2.2.1. Withdraw materials required for this Job Pack from TCO Warehouse according to Material Request(s).
2.2.2. Abrasive blast and coat new piping spools and supports, as specified on isometric drawing 00-YYYY-L-ZZZZ in accordance with TES COM-SU-5191-TCO.
2.2.3. NOTE: Mask-off field-weld joints and flange faces prior to coating.</t>
  </si>
  <si>
    <t>new scope_type 'Pipe extension' was created. 150H22 links to 150H25 (B).</t>
  </si>
  <si>
    <t>scope_type = 'Pipe section replacement'. TP EWO 2013037/002 not in context, therefore hasn't generated</t>
  </si>
  <si>
    <t>Diameter 4" doesn't exist in WPS table. So looked for available closer value, dia 3" was choosen and entered manually again to chat. Scope_type doesn’t created, typed as "Pipe repl'</t>
  </si>
  <si>
    <t>ID003</t>
  </si>
  <si>
    <t>21/07/2026</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</si>
  <si>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Apply and sign special tape, which determines the place of cutting the pipe, according to SP-26 at TP-001 and TP-002. Follow all the steps of SP-26.
2.3.5. Cold Cut, unbolt and remove existing piping and pipe supports per 'Destruct Detail' of isometric drawing 00-YYYY-L-ZZZZ.
2.3.6. Make good any remaining foundations and/or metal structures and perform coating repairs per TES COM-SU-5191-TCO.
2.3.7. Bevel cut ends of existing piping at the tie-in points TP-001 and TP-002 for field welding as shown on isometric drawing(s) 00-YYYY-L-ZZZZ.
2.3.8. Inspect the prepared weld bevel ends 100% VT and 100 % MT/PT for defects. NOTE: Perform inspection of weld bevels and nipo-flange landings PRIOR to welding.
2.3.9. Install piping as specified on isometric drawing 00-YYYY-L-ZZZZ. For field welds use TCO-approved WPSs indicated on isometric drawing(s).
2.3.10. Perform NDE of field welds, as specified on isometric drawing(s) 00-YYYY-L-ZZZZ. NOTE: BP must check with MaxTrax admin on NDE requirements prior to commence welding works.
2.3.11. Perform field hydrostatic testing of new piping as specified on isometric drawing(s) 00-YYYY-L-ZZZZ in accordance with TES PIM-SU-3541-TCO.
2.3.12. Perform surface preparation and touch up field welds and any other coating damages in accordance with TES COM-SU-4743-TCO and coating system(s) per TES COM-SU-5191-TCO specified on drawings.
2.3.13. All QM piping passport documentation (A-category Checklists) to be verified and signed by TCO-approved QM Inspector prior to PSSR, but not later than 24 hours after mechanical scope completion.
2.3.14. Advise xxxxx yyyyy/ zzzzz mmmm, DTEC KTL Plant Support / DTEC T/A / SGP/SGI, / FUPO Engineer at ext. 0000 about work completion and invite all necessary people to PSSR.
2.3.15. Job Pack Coordinator shall submit the completed PIC check-list to Operations department after being signed by Quality Management group. (Form is provided by QM Dept.).
2.3.16. Conduct PSSR and close out A-category punch points.
2.3.17. Following PSSR reinstate / install insulation and cladding, as per TES IRM-SU-1381-TCO and as specified on isometric drawing 00-YYYY-L-ZZZZ.
2.3.18. Close out all B-category punch points and remove associated scaffolding.
2.3.19.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</si>
  <si>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Perform surface preparation and touch up field welds and any other coating damages in accordance with TES COM-SU-4743-TCO and coating system(s) per TES COM-SU-5191-TCO specified on drawings.
2.3.5. All QM piping passport documentation (A-category Checklists) to be verified and signed by TCO-approved QM Inspector prior to PSSR, but not later than 24 hours after mechanical scope completion.
2.3.6. Advise xxxxx yyyyy/ zzzzz mmmm, DTEC KTL Plant Support / DTEC T/A / SGP/SGI, / FUPO Engineer at ext. 0000 about work completion and invite all necessary people to PSSR.
2.3.7. Job Pack Coordinator shall submit the completed PIC check-list to Operations department after being signed by Quality Management group. (Form is provided by QM Dept.).
2.3.8. Conduct PSSR and close out A-category punch points.
2.3.9. Following PSSR reinstate / install insulation and cladding, as per TES IRM-SU-1381-TCO and as specified on isometric drawing 00-YYYY-L-ZZZZ.
2.3.10. Close out all B-category punch points and remove associated scaffolding.
2.3.11. Clean up the work area and demobilize from site.</t>
  </si>
  <si>
    <t>as TP is not given, the lines 4-8 from reference hasn't generated.     4. Remove TLR and cut piping according to sketch L-SK-001. NOTE: Prior to cut, install temporary supports.
5. Bevel cut ends of existing piping at the tie-in point(s) FE22-0430/001, FE22-0430/002 for field welding as shown on sketch L-SK-001.
6. Inspect the prepared weld bevel ends 100% VT and 100 % MT for defects. NOTE: Perform inspection of weld bevels PRIOR to welding.
7. Install piping as specified on sketch L-SK-001. For field welds use TCO-approved WPS indicated on sketch L-SK-001.
8. Perform NDE of field welds, as specified on sketch L-SK-001.</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</si>
  <si>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Apply and sign special tape, which determines the place of cutting the pipe, according to SP-26 at TP-001/002. Follow all the steps of SP-26.
2.3.5. Cold Cut, unbolt and remove existing piping and pipe supports per 'Destruct Detail' of isometric drawing 00-YYYY-L-ZZZZ.
2.3.6. Make good any remaining foundations and/or metal structures and perform coating repairs per TES COM-SU-5191-TCO.
2.3.7. Bevel cut ends of existing piping at the tie-in point TP-001/002 for field welding as shown on isometric drawing(s) 00-YYYY-L-ZZZZ.
2.3.8. Inspect the prepared weld bevel ends 100% VT and 100 % MT/PT for defects. NOTE: Perform inspection of weld bevels and nipo-flange landings PRIOR to welding.
2.3.9. Install piping as specified on isometric drawing 00-YYYY-L-ZZZZ. For field welds use TCO-approved WPSs indicated on isometric drawing(s).
2.3.10. Perform NDE of field welds, as specified on isometric drawing(s) 00-YYYY-L-ZZZZ. NOTE: BP must check with MaxTrax admin on NDE requirements prior to commence welding works.
2.3.11. Perform field hydrostatic testing of new piping as specified on isometric drawing(s) 00-YYYY-L-ZZZZ in accordance with TES PIM-SU-3541-TCO.
2.3.12. Perform surface preparation and touch up field welds and any other coating damages in accordance with TES COM-SU-4743-TCO and coating system(s) per TES COM-SU-5191-TCO specified on drawings.
2.3.13. All QM piping passport documentation (A-category Checklists) to be verified and signed by TCO-approved QM Inspector prior to PSSR, but not later than 24 hours after mechanical scope completion.
2.3.14. Advise xxxxx yyyyy/ zzzzz mmmm, DTEC KTL Plant Support / DTEC T/A / SGP/SGI, / FUPO Engineer at ext. 0000 about work completion and invite all necessary people to PSSR.
2.3.15. Job Pack Coordinator shall submit the completed PIC check-list to Operations department after being signed by Quality Management group. (Form is provided by QM Dept.).
2.3.16. Conduct PSSR and close out A-category punch points.
2.3.17. Following PSSR reinstate / install insulation and cladding, as per TES IRM-SU-1381-TCO and as specified on isometric drawing 00-YYYY-L-ZZZZ.
2.3.18. Close out all B-category punch points and remove associated scaffolding.
2.3.19. Clean up the work area and demobilize from site.</t>
  </si>
  <si>
    <t xml:space="preserve">Lines (5. Remove TLR #21044. and 10. Perform service testing of new piping as specified on EWO cover page.) are missing </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</si>
  <si>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Perform hydrogen bake-out in the weld zone of each tie-in points as shown on isometric drawing(s) 00-YYYY-L-ZZZZ following requirements in TES PIM-SU-2505.
2.3.5. Perform PWHT of field joints as specified by WPS and in compliance with TES PIM-SU-2505.
2.3.6. Perform surface preparation and touch up field welds and any other coating damages in accordance with TES COM-SU-4743-TCO and coating system(s) per TES COM-SU-5191-TCO specified on drawings.
2.3.7. All QM piping passport documentation (A-category Checklists) to be verified and signed by TCO-approved QM Inspector prior to PSSR, but not later than 24 hours after mechanical scope completion.
2.3.8. Advise xxxxx yyyyy/ zzzzz mmmm, DTEC KTL Plant Support / DTEC T/A / SGP/SGI, / FUPO Engineer at ext. 0000 about work completion and invite all necessary people to PSSR.
2.3.9. Job Pack Coordinator shall submit the completed PIC check-list to Operations department after being signed by Quality Management group. (Form is provided by QM Dept.).
2.3.10. Conduct PSSR and close out A-category punch points.
2.3.11. Following PSSR reinstate / install insulation and cladding, as per TES IRM-SU-1381-TCO and as specified on isometric drawing 00-YYYY-L-ZZZZ.
2.3.12. Close out all B-category punch points and remove associated scaffolding.
2.3.13.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</si>
  <si>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TP-002.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 TP-002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</si>
  <si>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2.3.12. Perform field hydrostatic testing of new piping as specified on isometric drawing(s) 00-YYYY-L-ZZZZ in accordance with TES PIM-SU-3541-TCO. Generated (not in reference)</t>
  </si>
  <si>
    <t>6. Carefully grind out the existing socket weld at TP-002 for rewelding new 1 ½” pipe spool shown on "Destruct Detail" of drawing L-SK-001. hasn’t generated</t>
  </si>
  <si>
    <t>3. Unbolt and modify existing piping shown on drawing L-SK-001.
4. Install piping as specified on drawing L-SK-001. For field welds use TCO-approved WPSs indicated on drawing L-SK-001 or coversheet. hasn't generated, bcs of absence of TP</t>
  </si>
  <si>
    <t>22/07/2026</t>
  </si>
  <si>
    <t xml:space="preserve">Identifies scope_type = pipe repl.    </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</si>
  <si>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TP-001/002/003/004 and TP-005.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TP-001/002/003/004 and TP-005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</si>
  <si>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TP-001.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 TP-001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</si>
  <si>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IMPACT+H13:N13</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</si>
  <si>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TP-001, TP-002, TP-003.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TP-001, TP-002, TP-003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</si>
  <si>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Perform surface preparation and touch up field welds and any other coating damages in accordance with TES COM-SU-4743-TCO and coating system(s) per TES COM-SU-5191-TCO specified on drawings.
2.3.6. Arrange with TTT I&amp;E Coordinator [OR] Zone Maintenance to reinstate / install related electric trace heating and instruments, as per I&amp;E Job Pack YY-NNNN.
2.3.7. All QM piping passport documentation (A-category Checklists) to be verified and signed by TCO-approved QM Inspector prior to PSSR, but not later than 24 hours after mechanical scope completion.
2.3.8. Advise xxxxx yyyyy/ zzzzz mmmm, DTEC KTL Plant Support / DTEC T/A / SGP/SGI, / FUPO Engineer at ext. 0000 about work completion and invite all necessary people to PSSR.
2.3.9. Job Pack Coordinator shall submit the completed PIC check-list to Operations department after being signed by Quality Management group. (Form is provided by QM Dept.).
2.3.10. Conduct PSSR and close out A-category punch points.
2.3.11. Following PSSR reinstate / install insulation and cladding, as per TES IRM-SU-1381-TCO and as specified on isometric drawing 00-YYYY-L-ZZZZ.
2.3.12. Close out all B-category punch points and remove associated scaffolding.
2.3.13. Clean up the work area and demobilize from site.</t>
  </si>
  <si>
    <t>scope_type recognized as 'pipe repl'. The lines hasn't generated due to absense of TP (5. Install temporary supports.
6. Cut, unbolt and remove existing piping and supports shown on “Destruct Detail” of isometric drawing 062-0200-LLL-ISO-20482-01.
7. Install piping as specified on isometric drawing 062-0200-LLL-ISO-20483-01. Use TCO-approved WPSs for field welding.
8. Perform NDE of field welds, as specified on drawing 062-0200-LLL-ISO-20482-01.)</t>
  </si>
  <si>
    <t xml:space="preserve">scope_type recognized as 'pipe repl'. </t>
  </si>
  <si>
    <t>scope_type recognized as 'pipe repl'. The lines hasn't generated due to absense of TP (5. Cut, unbolt and remove existing piping shown on “Destruct Detail” of isometric drawings 063-9100-LLL-ISO-20068-01.
6. Install piping as specified on isometric drawings 063-9100-LLL-ISO-20068-01 and 063-9100-LLL-ISO-20069-01. Use TCO-approved WPSs for field welding.
7. Perform NDE of field welds, as specified on the isometric drawings.
14. Reinstate insulation and cladding as per TES IRM-SU-1381-TCO and drawings.)</t>
  </si>
  <si>
    <t>From first try scope_type = 'TLR' recognized. The extra line was added "2.3.12. Perform field hydrostatic testing of new piping as specified on isometric drawing(s) 00-YYYY-L-ZZZZ in accordance with TES PIM-SU-3541-TCO.
"</t>
  </si>
  <si>
    <t xml:space="preserve"> Identifies scope_type = pipe repl.The extra lines were generated "2.3.8. Bevel cut ends of existing piping at the tie-in point TP-002 for field welding as shown on isometric drawing(s) 00-YYYY-L-ZZZZ.
2.3.9. Inspect the prepared weld bevel ends 100% VT and 100 % MT/PT for defects. NOTE: Perform inspection of weld bevels and nipo-flange landings PRIOR to welding.
2.3.12. Perform field hydrostatic testing of new piping as specified on isometric drawing(s) 00-YYYY-L-ZZZZ in accordance with TES PIM-SU-3541-TCO." </t>
  </si>
  <si>
    <t>The extra line "2.3.12. Perform field hydrostatic testing of new piping as specified on isometric drawing(s) 00-YYYY-L-ZZZZ in accordance with TES PIM-SU-3541-TCO." was generated</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</si>
  <si>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TP-001 and TP-002.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TP-001 and TP-002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</si>
  <si>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r>
      <t xml:space="preserve">The extra line "2.3.12. Perform field hydrostatic testing of new piping as specified on isometric drawing(s) 00-YYYY-L-ZZZZ in accordance with TES PIM-SU-3541-TCO." was generated.     Difference in "Install </t>
    </r>
    <r>
      <rPr>
        <b/>
        <sz val="9"/>
        <rFont val="Arial"/>
        <family val="2"/>
      </rPr>
      <t>piping</t>
    </r>
    <r>
      <rPr>
        <sz val="9"/>
        <rFont val="Arial"/>
        <family val="2"/>
      </rPr>
      <t>(template)/</t>
    </r>
    <r>
      <rPr>
        <b/>
        <sz val="9"/>
        <rFont val="Arial"/>
        <family val="2"/>
      </rPr>
      <t>elbow</t>
    </r>
    <r>
      <rPr>
        <sz val="9"/>
        <rFont val="Arial"/>
        <family val="2"/>
      </rPr>
      <t>(reference) as specified on isometric drawing 00-YYYY-L-ZZZZ. For field welds use TCO-approved WPSs indicated on isometric drawing(s)."</t>
    </r>
  </si>
  <si>
    <r>
      <t xml:space="preserve">In reference shown "6. INVITE FER INSPECTOR TO CHECK THE FLANGE AND VALVE FACE, GASKET, BOLTS CONDITION AND DECIDE FURTHER REPAIR ACTIVITIES EITHER REPACKING OF THE FLANGE JOINT OR FOLLOW THE INSTRUCTIONS MENTIONED IN THIS EWO", but we don't have it in our template. Also, extra line generated ''2.3.13. Perform surface preparation and touch up field welds and any other coating damages in accordance with TES COM-SU-4743-TCO and coating system(s) per TES COM-SU-5191-TCO specified on drawings." Difference in "Install </t>
    </r>
    <r>
      <rPr>
        <b/>
        <sz val="9"/>
        <rFont val="Arial"/>
        <family val="2"/>
      </rPr>
      <t>piping</t>
    </r>
    <r>
      <rPr>
        <sz val="9"/>
        <rFont val="Arial"/>
        <family val="2"/>
      </rPr>
      <t xml:space="preserve">(template)/ </t>
    </r>
    <r>
      <rPr>
        <b/>
        <sz val="9"/>
        <rFont val="Arial"/>
        <family val="2"/>
      </rPr>
      <t>weld neck flange</t>
    </r>
    <r>
      <rPr>
        <sz val="9"/>
        <rFont val="Arial"/>
        <family val="2"/>
      </rPr>
      <t>(reference) as specified on isometric drawing 00-YYYY-L-ZZZZ. For field welds use TCO-approved WPSs indicated on isometric drawing(s)."</t>
    </r>
  </si>
  <si>
    <r>
      <t xml:space="preserve">scope_type recognized as 'pipe repl'. In reference shown "6. INVITE FER INSPECTOR TO CHECK THE FLANGE AND VALVE FACE, GASKET, BOLTS CONDITION AND DECIDE FURTHER REPAIR ACTIVITIES EITHER REPACKING OF THE FLANGE JOINT OR FOLLOW THE INSTRUCTIONS MENTIONED IN THIS EWO", but we don't have it in our template. Difference in "Install </t>
    </r>
    <r>
      <rPr>
        <b/>
        <sz val="9"/>
        <rFont val="Arial"/>
        <family val="2"/>
      </rPr>
      <t>piping</t>
    </r>
    <r>
      <rPr>
        <sz val="9"/>
        <rFont val="Arial"/>
        <family val="2"/>
      </rPr>
      <t xml:space="preserve">(template)/ </t>
    </r>
    <r>
      <rPr>
        <b/>
        <sz val="9"/>
        <rFont val="Arial"/>
        <family val="2"/>
      </rPr>
      <t>weld neck flange</t>
    </r>
    <r>
      <rPr>
        <sz val="9"/>
        <rFont val="Arial"/>
        <family val="2"/>
      </rPr>
      <t>(reference) as specified on isometric drawing 00-YYYY-L-ZZZZ. For field welds use TCO-approved WPSs indicated on isometric drawing(s)."</t>
    </r>
  </si>
  <si>
    <t>23/07/2026</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</si>
  <si>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YYY-XXXX. NOTE: BP to match mark, call a unit operator, show the mark and record location prior to cutting and removal to aid in reinstatement of heat tracing.
2.3.5. Apply and sign special tape, which determines the place of cutting the pipe, according to SP-26 at TP-001 and TP-002.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TP-001 and TP-002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YYY-XXXX.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</si>
  <si>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YYY-XXXX. NOTE: BP to match mark, call a unit operator, show the mark and record location prior to cutting and removal to aid in reinstatement of heat tracing.
2.3.5. Apply and sign special tape, which determines the place of cutting the pipe, according to SP-26 at TP25-0086/001 and TP25-0086/002.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TP25-0086/001 and TP25-0086/002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YYY-XXXX.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</si>
  <si>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Two extra lines were generated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t>
  </si>
  <si>
    <t>2.2.1. Perform relevant job safety assessments (PPHA &amp; JSA) and obtain required Permits-to-Work (PTWs).
2.2.2.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2.2.3. Remove all cladding and insulation to the extent required.
2.2.4.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2.2.5. Apply and sign special tape, which determines the place of cutting the pipe, according to SP-26 at TP25-0087/001, TP25-0087/002, TP25-0087/003. Follow all the steps of SP-26.
2.2.6. Cold Cut, unbolt and remove existing piping and pipe supports per 'Destruct Detail' of isometric drawing 00-YYYY-L-ZZZZ.
2.2.7. Make good any remaining foundations and/or metal structures and perform coating repairs per TES COM-SU-5191-TCO.
2.2.8. Bevel cut ends of existing piping at the tie-in points TP25-0087/001, TP25-0087/002, TP25-0087/003 for field welding as shown on isometric drawing(s) 00-YYYY-L-ZZZZ.
2.2.9. Inspect the prepared weld bevel ends 100% VT and 100 % MT/PT for defects. NOTE: Perform inspection of weld bevels and nipo-flange landings PRIOR to welding.
2.2.10. Install piping as specified on isometric drawing 00-YYYY-L-ZZZZ. For field welds use TCO-approved WPSs indicated on isometric drawing(s).
2.2.11. Perform NDE of field welds, as specified on isometric drawing(s) 00-YYYY-L-ZZZZ. NOTE: BP must check with MaxTrax admin on NDE requirements prior to commence welding works.
2.2.12. Perform field hydrostatic testing of new piping as specified on isometric drawing(s) 00-YYYY-L-ZZZZ in accordance with TES PIM-SU-3541-TCO.
2.2.13. Perform surface preparation and touch up field welds and any other coating damages in accordance with TES COM-SU-4743-TCO and coating system(s) per TES COM-SU-5191-TCO specified on drawings.
2.2.14. Arrange with TTT I&amp;E Coordinator [OR] Zone Maintenance to reinstate / install related electric trace heating and instruments, as per I&amp;E Job Pack YY-NNNN.
2.2.15. All QM piping passport documentation (A-category Checklists) to be verified and signed by TCO-approved QM Inspector prior to PSSR, but not later than 24 hours after mechanical scope completion.
2.2.16. Advise xxxxx yyyyy/ zzzzz mmmm, DTEC KTL Plant Support / DTEC T/A / SGP/SGI, / FUPO Engineer at ext. 0000 about work completion and invite all necessary people to PSSR.
2.2.17. Job Pack Coordinator shall submit the completed PIC check-list to Operations department after being signed by Quality Management group. (Form is provided by QM Dept.).
2.2.18. Conduct PSSR and close out A-category punch points.
2.2.19. Following PSSR reinstate / install insulation and cladding, as per TES IRM-SU-1381-TCO and as specified on isometric drawing 00-YYYY-L-ZZZZ.
2.2.20. Close out all B-category punch points and remove associated scaffolding.
2.2.21.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</si>
  <si>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Apply and sign special tape, which determines the place of cutting the pipe, according to SP-26 at TP-001. Follow all the steps of SP-26.
2.3.5. Cold Cut, unbolt and remove existing piping and pipe supports per 'Destruct Detail' of isometric drawing 00-YYYY-L-ZZZZ.
2.3.6. Make good any remaining foundations and/or metal structures and perform coating repairs per TES COM-SU-5191-TCO.
2.3.7. Bevel cut ends of existing piping at the tie-in point TP-001 for field welding as shown on isometric drawing(s) 00-YYYY-L-ZZZZ.
2.3.8. Inspect the prepared weld bevel ends 100% VT and 100 % MT/PT for defects. NOTE: Perform inspection of weld bevels and nipo-flange landings PRIOR to welding.
2.3.9. Install piping as specified on isometric drawing 00-YYYY-L-ZZZZ. For field welds use TCO-approved WPSs indicated on isometric drawing(s).
2.3.10. Perform NDE of field welds, as specified on isometric drawing(s) 00-YYYY-L-ZZZZ. NOTE: BP must check with MaxTrax admin on NDE requirements prior to commence welding works.
2.3.11. Perform field hydrostatic testing of new piping as specified on isometric drawing(s) 00-YYYY-L-ZZZZ in accordance with TES PIM-SU-3541-TCO.
2.3.12. Perform surface preparation and touch up field welds and any other coating damages in accordance with TES COM-SU-4743-TCO and coating system(s) per TES COM-SU-5191-TCO specified on drawings.
2.3.13. All QM piping passport documentation (A-category Checklists) to be verified and signed by TCO-approved QM Inspector prior to PSSR, but not later than 24 hours after mechanical scope completion.
2.3.14. Advise xxxxx yyyyy/ zzzzz mmmm, DTEC KTL Plant Support / DTEC T/A / SGP/SGI, / FUPO Engineer at ext. 0000 about work completion and invite all necessary people to PSSR.
2.3.15. Job Pack Coordinator shall submit the completed PIC check-list to Operations department after being signed by Quality Management group. (Form is provided by QM Dept.).
2.3.16. Conduct PSSR and close out A-category punch points.
2.3.17. Following PSSR reinstate / install insulation and cladding, as per TES IRM-SU-1381-TCO and as specified on isometric drawing 00-YYYY-L-ZZZZ.
2.3.18. Close out all B-category punch points and remove associated scaffolding.
2.3.19. Clean up the work area and demobilize from site.</t>
  </si>
  <si>
    <t>Generated "Install piping…" instead of "Install flanged spool" (Line 2.3.9)</t>
  </si>
  <si>
    <t>2.1.1. Prior to commencing any fabrication works verify dimensions, pipe routing and field weld locations on site.
2.1.2. Prior to commencing any fabrication works verify dimensions, pipe routing and field weld locations on site.</t>
  </si>
  <si>
    <t>2.2.1. Perform relevant job safety assessments (PPHA &amp; JSA) and obtain required Permits-to-Work (PTWs).
2.2.2.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2.2.3. Remove all cladding and insulation to the extent required.
2.2.4. Perform surface preparation and touch up field welds and any other coating damages in accordance with TES COM-SU-4743-TCO and coating system(s) per TES COM-SU-5191-TCO specified on drawings.
2.2.5. All QM piping passport documentation (A-category Checklists) to be verified and signed by TCO-approved QM Inspector prior to PSSR, but not later than 24 hours after mechanical scope completion.
2.2.6. Advise xxxxx yyyyy/ zzzzz mmmm, DTEC KTL Plant Support / DTEC T/A / SGP/SGI, / FUPO Engineer at ext. 0000 about work completion and invite all necessary people to PSSR.
2.2.7. Job Pack Coordinator shall submit the completed PIC check-list to Operations department after being signed by Quality Management group. (Form is provided by QM Dept.).
2.2.8. Conduct PSSR and close out A-category punch points.
2.2.9. Following PSSR reinstate / install insulation and cladding, as per TES IRM-SU-1381-TCO and as specified on isometric drawing 00-YYYY-L-ZZZZ.
2.2.10. Close out all B-category punch points and remove associated scaffolding.
2.2.11. Clean up the work area and demobilize from site.</t>
  </si>
  <si>
    <t>27/07/2026</t>
  </si>
  <si>
    <t>2.3.1. Perform relevant job safety assessments (PPHA &amp; JSA) and obtain required Permits-to-Work (PTWs).
2.3.2. Demarcate work area as necessary and erect scaffolding for access.
2.3.3.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2.3.4. Remove all cladding and insulation to the extent required.
2.3.5. Arrange with Tengiz Turnaround Team (TTT) I&amp;E Coordinator [OR] Zone Maintenance to isolate, LOTO and remove electric trace heating and instruments from associated piping per I&amp;E Job Pack YY-NNNN.
2.3.6. NOTE: BP to match mark, call a unit operator, show the mark and record location prior to cutting and removal to aid in reinstatement of heat tracing.
2.3.7. Perform surface preparation and touch up field welds and any other coating damages in accordance with TES COM-SU-4743-TCO and coating system(s) per TES COM-SU-5191-TCO specified on drawings.
2.3.8. Arrange with TTT I&amp;E Coordinator [OR] Zone Maintenance to reinstate / install related electric trace heating and instruments, as per I&amp;E Job Pack YY-NNNN.
2.3.9. All QM piping passport documentation (A-category Checklists) to be verified and signed by TCO-approved QM Inspector prior to PSSR, but not later than 24 hours after mechanical scope completion.
2.3.10. Advise xxxxx yyyyy/ zzzzz mmmm, DTEC KTL Plant Support / DTEC T/A / SGP/SGI, / FUPO Engineer at ext. 0000 about work completion and invite all necessary people to PSSR.
2.3.11. Job Pack Coordinator shall submit the completed PIC check-list to Operations department after being signed by Quality Management group. (Form is provided by QM Dept.).
2.3.12. Conduct PSSR and close out A-category punch points.
2.3.13. Following PSSR reinstate / install insulation and cladding, as per TES IRM-SU-1381-TCO and as specified on isometric drawing 00-YYYY-L-ZZZZ.
2.3.14. Close out all B-category punch points and remove associated scaffolding.
2.3.15.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</si>
  <si>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TP25-0120/003.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 TP25-0120/003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</si>
  <si>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From first try scope_type = 'TLR' recognized.</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</si>
  <si>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Apply and sign special tape, which determines the place of cutting the pipe, according to SP-26 at TP-001, TP-002, TP-003, TP25-0464/001. Follow all the steps of SP-26.
2.3.5. Cold Cut, unbolt and remove existing piping and pipe supports per 'Destruct Detail' of isometric drawing 00-YYYY-L-ZZZZ.
2.3.6. Make good any remaining foundations and/or metal structures and perform coating repairs per TES COM-SU-5191-TCO.
2.3.7. Bevel cut ends of existing piping at the tie-in points TP-001, TP-002, TP-003, TP25-0464/001 for field welding as shown on isometric drawing(s) 00-YYYY-L-ZZZZ.
2.3.8. Inspect the prepared weld bevel ends 100% VT and 100 % MT/PT for defects. NOTE: Perform inspection of weld bevels and nipo-flange landings PRIOR to welding.
2.3.9. Install piping as specified on isometric drawing 00-YYYY-L-ZZZZ. For field welds use TCO-approved WPSs indicated on isometric drawing(s).
2.3.10. Perform NDE of field welds, as specified on isometric drawing(s) 00-YYYY-L-ZZZZ. NOTE: BP must check with MaxTrax admin on NDE requirements prior to commence welding works.
2.3.11. Perform field hydrostatic testing of new piping as specified on isometric drawing(s) 00-YYYY-L-ZZZZ in accordance with TES PIM-SU-3541-TCO.
2.3.12. Perform surface preparation and touch up field welds and any other coating damages in accordance with TES COM-SU-4743-TCO and coating system(s) per TES COM-SU-5191-TCO specified on drawings.
2.3.13. All QM piping passport documentation (A-category Checklists) to be verified and signed by TCO-approved QM Inspector prior to PSSR, but not later than 24 hours after mechanical scope completion.
2.3.14. Advise xxxxx yyyyy/ zzzzz mmmm, DTEC KTL Plant Support / DTEC T/A / SGP/SGI, / FUPO Engineer at ext. 0000 about work completion and invite all necessary people to PSSR.
2.3.15. Job Pack Coordinator shall submit the completed PIC check-list to Operations department after being signed by Quality Management group. (Form is provided by QM Dept.).
2.3.16. Conduct PSSR and close out A-category punch points.
2.3.17. Following PSSR reinstate / install insulation and cladding, as per TES IRM-SU-1381-TCO and as specified on isometric drawing 00-YYYY-L-ZZZZ.
2.3.18. Close out all B-category punch points and remove associated scaffolding.
2.3.19. Clean up the work area and demobilize from site.</t>
  </si>
  <si>
    <t>From first try scope_type = 'TLR' recognized. TP lines are messed up</t>
  </si>
  <si>
    <t>2.1.1. Prior to start of mechanical activities, perform wall thickness testing at TP-001 to confirm that wall thickness is adequate for welding. Results shall be reviewed and approved by Fixed Equipment Reliability (FER) Unit Inspector. NOTE: Perform the wall thickness test by marking out and recording a matrix as directed by the TCO FER Unit Inspector.
2.1.2. Prior to commencing any fabrication works verify dimensions, pipe routing and field weld locations on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</si>
  <si>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Apply and sign special tape, which determines the place of cutting the pipe, according to SP-26 at TP-001. Follow all the steps of SP-26.
2.3.4. Cold Cut, unbolt and remove existing piping and pipe supports per 'Destruct Detail' of isometric drawing 00-YYYY-L-ZZZZ.
2.3.5. Make good any remaining foundations and/or metal structures and perform coating repairs per TES COM-SU-5191-TCO.
2.3.6. Bevel cut ends of existing piping at the tie-in point TP-001 for field welding as shown on isometric drawing(s) 00-YYYY-L-ZZZZ.
2.3.7. Inspect the prepared weld bevel ends 100% VT and 100 % MT/PT for defects. NOTE: Perform inspection of weld bevels and nipo-flange landings PRIOR to welding.
2.3.8. Install piping as specified on isometric drawing 00-YYYY-L-ZZZZ. For field welds use TCO-approved WPSs indicated on isometric drawing(s).
2.3.9. Perform field hydrostatic testing of new piping as specified on isometric drawing(s) 00-YYYY-L-ZZZZ in accordance with TES PIM-SU-3541-TCO.
2.3.10. Perform surface preparation and touch up field welds and any other coating damages in accordance with TES COM-SU-4743-TCO and coating system(s) per TES COM-SU-5191-TCO specified on drawings.
2.3.11. All QM piping passport documentation (A-category Checklists) to be verified and signed by TCO-approved QM Inspector prior to PSSR, but not later than 24 hours after mechanical scope completion.
2.3.12. Advise xxxxx yyyyy/ zzzzz mmmm, DTEC KTL Plant Support / DTEC T/A / SGP/SGI, / FUPO Engineer at ext. 0000 about work completion and invite all necessary people to PSSR.
2.3.13. Job Pack Coordinator shall submit the completed PIC check-list to Operations department after being signed by Quality Management group. (Form is provided by QM Dept.).
2.3.14. Conduct PSSR and close out A-category punch points.
2.3.15. Clean up the work area and demobilize from site.</t>
  </si>
  <si>
    <t>Site Work content is diffirent due to scope_type and absense of template</t>
  </si>
  <si>
    <t>2.2.1. Withdraw materials required for this Job Pack from TCO Warehouse according to Material Request(s).
2.2.2. Prefabricate pipe spools as per isometric drawing(s) 00-YYYY-L-ZZZZ. Use TCO-approved Welding Procedure Specification(s) (WPSs) indicated on isometric drawing(s). BP shall comply with TCO Guideline 16-0015-MI for socket-welded joints.
2.2.3. Perform PWHT as specified by WPS and per TES PIM-SU-2505.
2.2.4. NOTE: BP must check with MaxTrax admin on NDE requirements prior to commence welding works.
2.2.5. Abrasive blast and coat new piping spools and supports, as specified on isometric drawing 00-YYYY-L-ZZZZ in accordance with TES COM-SU-5191-TCO.
2.2.6. NOTE: Mask-off field-weld joints and flange faces prior to coating.</t>
  </si>
  <si>
    <t>2.3.1. Perform relevant job safety assessments (PPHA &amp; JSA) and obtain required Permits-to-Work (PTWs).
2.3.2. Demarcate work area as necessary and erect scaffolding for access.
2.3.3.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2.3.4. Remove all cladding and insulation to the extent required.
2.3.5. Arrange with Tengiz Turnaround Team (TTT) I&amp;E Coordinator [OR] Zone Maintenance to isolate, LOTO and remove electric trace heating and instruments from associated piping per I&amp;E Job Pack YY-NNNN.
2.3.6. NOTE: BP to match mark, call a unit operator, show the mark and record location prior to cutting and removal to aid in reinstatement of heat tracing.
2.3.7. Perform hydrogen bake-out in the weld zone of each tie-in points as shown on isometric drawing(s) 00-YYYY-L-ZZZZ following requirements in TES PIM-SU-2505.
2.3.8. Perform PWHT of field joints as specified by WPS and in compliance with TES PIM-SU-2505.
2.3.9. Perform surface preparation and touch up field welds and any other coating damages in accordance with TES COM-SU-4743-TCO and coating system(s) per TES COM-SU-5191-TCO specified on drawings.
2.3.10. Arrange with TTT I&amp;E Coordinator [OR] Zone Maintenance to reinstate / install related electric trace heating and instruments, as per I&amp;E Job Pack YY-NNNN.
2.3.11. All QM piping passport documentation (A-category Checklists) to be verified and signed by TCO-approved QM Inspector prior to PSSR, but not later than 24 hours after mechanical scope completion.
2.3.12. Advise xxxxx yyyyy/ zzzzz mmmm, DTEC KTL Plant Support / DTEC T/A / SGP/SGI, / FUPO Engineer at ext. 0000 about work completion and invite all necessary people to PSSR.
2.3.13. Job Pack Coordinator shall submit the completed PIC check-list to Operations department after being signed by Quality Management group. (Form is provided by QM Dept.).
2.3.14. Conduct PSSR and close out A-category punch points.
2.3.15. Following PSSR reinstate / install insulation and cladding, as per TES IRM-SU-1381-TCO and as specified on isometric drawing 00-YYYY-L-ZZZZ.
2.3.16. Close out all B-category punch points and remove associated scaffolding.
2.3.17.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</si>
  <si>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Perform surface preparation and touch up field welds and any other coating damages in accordance with TES COM-SU-4743-TCO and coating system(s) per TES COM-SU-5191-TCO specified on drawings.
2.3.4. All QM piping passport documentation (A-category Checklists) to be verified and signed by TCO-approved QM Inspector prior to PSSR, but not later than 24 hours after mechanical scope completion.
2.3.5. Advise xxxxx yyyyy/ zzzzz mmmm, DTEC KTL Plant Support / DTEC T/A / SGP/SGI, / FUPO Engineer at ext. 0000 about work completion and invite all necessary people to PSSR.
2.3.6. Job Pack Coordinator shall submit the completed PIC check-list to Operations department after being signed by Quality Management group. (Form is provided by QM Dept.).
2.3.7. Conduct PSSR and close out A-category punch points.
2.3.8. Clean up the work area and demobilize from site.</t>
  </si>
  <si>
    <t>2.3.1. Perform relevant job safety assessments (PPHA &amp; JSA) and obtain required Permits-to-Work (PTWs).
2.3.2. Demarcate work area as necessary and erect scaffolding for access.
2.3.3.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2.3.4. Perform PMI at field joints per TCO RE QM SWP-20 on alloy materials listed in SWP-20 Appendix 20-1.
2.3.5. All QM piping passport documentation (A-category Checklists) to be verified and signed by TCO-approved QM Inspector prior to PSSR, but not later than 24 hours after mechanical scope completion.
2.3.6. Advise xxxxx yyyyy/ zzzzz mmmm, DTEC KTL Plant Support / DTEC T/A / SGP/SGI, / FUPO Engineer at ext. 0000 about work completion and invite all necessary people to PSSR.
2.3.7. Job Pack Coordinator shall submit the completed PIC check-list to Operations department after being signed by Quality Management group. (Form is provided by QM Dept.).
2.3.8. Conduct PSSR and close out A-category punch points.
2.3.9.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</si>
  <si>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TP2107.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 TP2107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NDE of field welds, as specified on isometric drawing(s) 00-YYYY-L-ZZZZ. NOTE: BP must check with MaxTrax admin on NDE requirements prior to commence welding works.
2.3.12. Perform field hydrostatic testing of new piping as specified on isometric drawing(s) 00-YYYY-L-ZZZZ in accordance with TES PIM-SU-3541-TCO.
2.3.13. Perform surface preparation and touch up field welds and any other coating damages in accordance with TES COM-SU-4743-TCO and coating system(s) per TES COM-SU-5191-TCO specified on drawings.
2.3.14. Arrange with TTT I&amp;E Coordinator [OR] Zone Maintenance to reinstate / install related electric trace heating and instruments, as per I&amp;E Job Pack YY-NNNN.
2.3.15. All QM piping passport documentation (A-category Checklists) to be verified and signed by TCO-approved QM Inspector prior to PSSR, but not later than 24 hours after mechanical scope completion.
2.3.16. Advise xxxxx yyyyy/ zzzzz mmmm, DTEC KTL Plant Support / DTEC T/A / SGP/SGI, / FUPO Engineer at ext. 0000 about work completion and invite all necessary people to PSSR.
2.3.17. Job Pack Coordinator shall submit the completed PIC check-list to Operations department after being signed by Quality Management group. (Form is provided by QM Dept.).
2.3.18. Conduct PSSR and close out A-category punch points.
2.3.19. Following PSSR reinstate / install insulation and cladding, as per TES IRM-SU-1381-TCO and as specified on isometric drawing 00-YYYY-L-ZZZZ.
2.3.20. Close out all B-category punch points and remove associated scaffolding.
2.3.21.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</si>
  <si>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Apply and sign special tape, which determines the place of cutting the pipe, according to SP-26 at TP-001. Follow all the steps of SP-26.
2.3.4. Cold Cut, unbolt and remove existing piping and pipe supports per 'Destruct Detail' of isometric drawing 00-YYYY-L-ZZZZ.
2.3.5. Make good any remaining foundations and/or metal structures and perform coating repairs per TES COM-SU-5191-TCO.
2.3.6. Bevel cut ends of existing piping at the tie-in point TP-001 for field welding as shown on isometric drawing(s) 00-YYYY-L-ZZZZ.
2.3.7. Inspect the prepared weld bevel ends 100% VT and 100 % MT/PT for defects. NOTE: Perform inspection of weld bevels and nipo-flange landings PRIOR to welding.
2.3.8. Install piping as specified on isometric drawing 00-YYYY-L-ZZZZ. For field welds use TCO-approved WPSs indicated on isometric drawing(s).
2.3.9. Perform NDE of field welds, as specified on isometric drawing(s) 00-YYYY-L-ZZZZ. NOTE: BP must check with MaxTrax admin on NDE requirements prior to commence welding works.
2.3.10. Perform field hydrostatic testing of new piping as specified on isometric drawing(s) 00-YYYY-L-ZZZZ in accordance with TES PIM-SU-3541-TCO.
2.3.11. Perform surface preparation and touch up field welds and any other coating damages in accordance with TES COM-SU-4743-TCO and coating system(s) per TES COM-SU-5191-TCO specified on drawings.
2.3.12. All QM piping passport documentation (A-category Checklists) to be verified and signed by TCO-approved QM Inspector prior to PSSR, but not later than 24 hours after mechanical scope completion.
2.3.13. Advise xxxxx yyyyy/ zzzzz mmmm, DTEC KTL Plant Support / DTEC T/A / SGP/SGI, / FUPO Engineer at ext. 0000 about work completion and invite all necessary people to PSSR.
2.3.14. Job Pack Coordinator shall submit the completed PIC check-list to Operations department after being signed by Quality Management group. (Form is provided by QM Dept.).
2.3.15. Conduct PSSR and close out A-category punch points.
2.3.16. Clean up the work area and demobilize from site.</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</si>
  <si>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Remove all cladding and insulation to the extent required.
2.3.4. Arrange with Tengiz Turnaround Team (TTT) I&amp;E Coordinator [OR] Zone Maintenance to isolate, LOTO and remove electric trace heating and instruments from associated piping per I&amp;E Job Pack YY-NNNN. NOTE: BP to match mark, call a unit operator, show the mark and record location prior to cutting and removal to aid in reinstatement of heat tracing.
2.3.5. Apply and sign special tape, which determines the place of cutting the pipe, according to SP-26 at TP-001 and TP-002. Follow all the steps of SP-26.
2.3.6. Cold Cut, unbolt and remove existing piping and pipe supports per 'Destruct Detail' of isometric drawing 00-YYYY-L-ZZZZ.
2.3.7. Make good any remaining foundations and/or metal structures and perform coating repairs per TES COM-SU-5191-TCO.
2.3.8. Bevel cut ends of existing piping at the tie-in points TP-001 and TP-002 for field welding as shown on isometric drawing(s) 00-YYYY-L-ZZZZ.
2.3.9. Inspect the prepared weld bevel ends 100% VT and 100 % MT/PT for defects. NOTE: Perform inspection of weld bevels and nipo-flange landings PRIOR to welding.
2.3.10. Install piping as specified on isometric drawing 00-YYYY-L-ZZZZ. For field welds use TCO-approved WPSs indicated on isometric drawing(s).
2.3.11. Perform PWHT of field joints as specified by WPS and in compliance with TES PIM-SU-2505.
2.3.12. Perform NDE and hardness testing of field welds, as specified on isometric drawing(s) 00-YYYY-L-ZZZZ. NOTE: Perform NDE and Hardness Testing only after PWHT! NOTE: BP must check with MaxTrax admin on NDE requirements prior to commence welding works.
2.3.13. Perform field hydrostatic testing of new piping as specified on isometric drawing(s) 00-YYYY-L-ZZZZ in accordance with TES PIM-SU-3541-TCO.
2.3.14. Perform surface preparation and touch up field welds and any other coating damages in accordance with TES COM-SU-4743-TCO and coating system(s) per TES COM-SU-5191-TCO specified on drawings.
2.3.15. Arrange with TTT I&amp;E Coordinator [OR] Zone Maintenance to reinstate / install related electric trace heating and instruments, as per I&amp;E Job Pack YY-NNNN.
2.3.16. All QM piping passport documentation (A-category Checklists) to be verified and signed by TCO-approved QM Inspector prior to PSSR, but not later than 24 hours after mechanical scope completion.
2.3.17. Advise xxxxx yyyyy/ zzzzz mmmm, DTEC KTL Plant Support / DTEC T/A / SGP/SGI, / FUPO Engineer at ext. 0000 about work completion and invite all necessary people to PSSR.
2.3.18. Job Pack Coordinator shall submit the completed PIC check-list to Operations department after being signed by Quality Management group. (Form is provided by QM Dept.).
2.3.19. Conduct PSSR and close out A-category punch points.
2.3.20. Following PSSR reinstate / install insulation and cladding, as per TES IRM-SU-1381-TCO and as specified on isometric drawing 00-YYYY-L-ZZZZ.
2.3.21. Close out all B-category punch points and remove associated scaffolding.
2.3.22. Clean up the work area and demobilize from site.</t>
  </si>
  <si>
    <t>no context, mannually entered 'flange repl'. The lines weren't generated due to absense of TP (3. Unbolt and remove existing piping shown on Sketch 1.
4. Install piping as specified on isometric drawing Sketch 1.
5. Perform service test.)</t>
  </si>
  <si>
    <t>no context, mannually entered 'flange repl'. The lines weren't generated due to absense of TP  (3. Unbolt and remove existing piping shown on Sketch 1.
4. Install new piping spool as per Sketch 1.
5. Keep second prefabricated spool as spare for future use.)</t>
  </si>
  <si>
    <t>The lines weren't generated due to absense of TP  (4. Apply cut-line marking as per SP-26.
5. Cold cut, unbolt and remove existing piping per “Destruct Detail” (L-SK-001).
6. Bevel cut ends at tie-in point TP EWO 2013037/002 for field welding.
7. Inspect prepared weld bevels 100% MT/PT for defects.
8. Install piping as per drawing L-SK-002 using approved WPS.
9. Install structural pipe supports as per drawing and standard support details.
10. Perform NDE of field welds as specified.
11. Perform field hydrostatic testing of piping in accordance with TES PIM-SU-3541-TCO.)</t>
  </si>
  <si>
    <t>The lines weren't generated due to absense of TP (3. Unbolt and remove existing piping as shown on isometric drawing L6435AA-FGH-4001-05.
4. Install new piping spool as per isometric drawing L6435AA-FGH-4001-05.)</t>
  </si>
  <si>
    <t>no context, mannually entered 'flange repl'. The lines weren't generated due to absense of TP (5. Unbolt and remove existing piping shown on "Destruct Detail" (L-SK-001).
6. Install new flanged spool as per drawing L-SK-002.)</t>
  </si>
  <si>
    <t>scope_type recognized as 'pipe repl'. The lines weren't generated due to absense of TP (5. Cut and remove existing piping shown on “Destruct Detail” of isometric drawing 062-0400-LLL-ISO-20083-01.
6. Bevel cut ends of existing piping at the tie-in points for field welding as shown on isometric drawing 062-0400-LLL-ISO-20083-01.
7. Inspect the prepared weld bevel ends 100% VT and 100% MT/PT for defects. NOTE: Perform inspection of weld bevels prior to welding.
8. Install piping as specified on isometric drawing 062-0400-LLL-ISO-20083-01. For field welds use TCO-approved WPS indicated on drawing.
9. Perform NDE of field welds as specified on isometric drawing 062-0400-LLL-ISO-20083-01.)</t>
  </si>
  <si>
    <t>scope_type recognized as 'pipe repl'. The lines weren't generated due to absense of TP (4. Cut and remove existing piping shown on “Destruct Detail” of sketch drawing L-SK-001.
5. Bevel cut ends of existing piping at the tie-in points for field welding as shown on sketch drawing L-SK-001.
6. Inspect the prepared weld bevel ends 100% VT and 100% MT/PT for defects. NOTE: Perform inspection of weld bevels prior to welding.
7. Install piping as specified on sketch drawing L-SK-001. For field welds use TCO-approved WPS indicated on sketch drawing.
8. Perform NDE of field welds, as specified on sketch drawing L-SK-001.)</t>
  </si>
  <si>
    <t>The lines weren't generated  (9. For tie-in points TP-001 and TP-002 following steps are required to be performed to remove amine/caustic residue and minimize the risk of ASCC/CSCC during welding to the existing pipe as per 23-0002-MI:
10. Water rinse and wipe with rag or cloth ID of the equipment for approximately 0.5 meter from the welding edge;
11. Use degreaser (Mix in warm water of 10% of SRC4231R or simple potash solution);
12. Water rinse after degreaser and wipe with rag or cloth, verify visually that it is cleaned (no oil or any hydrocarbons on the surface);
13. Follow up with weak acid (Mix 5% citric acid in warm water) to neutralize residual amine ID of the equipment for approximately 0.5 meter from the welding edge;
14. Water flush and wipe with rag or cloth ID of the cleaned section of the equipment;
15. Verify visually that ID surface is cleaned, and if required repeat steps above;
16. Perform light grinding or wire brush on ID at least 75 mm beyond welding edge;
17. Perform MT of welding edge and at least 25 mm on both equipment ID &amp; OD to verify absence of any cracking prior to start of welding;
18. Weld the joint using approved WPS;
19. Perform MT and PAUT after welding to confirm no cracking occurred during welding.)</t>
  </si>
  <si>
    <t>2.3.1. Perform relevant job safety assessments (PPHA &amp; JSA) and obtain required Permits-to-Work (PTWs).
2.3.2. Demarcate work area as necessary and erect scaffolding for access. NOTE: TCO Operations shall isolate, depressurize, drain and ready for Hot Work, Equipment and Piping associated with this Project, if and as applicable, and shall hand it over to BUSINESS PARTNER (BP); fully accessible, safe and Locked-Out-Tagged-Out (LOTO) as scheduled and agreed between TCO Operations and BP.
2.3.3. Apply and sign special tape, which determines the place of cutting the pipe, according to SP-26 at TP-001. Follow all the steps of SP-26.
2.3.4. Cold Cut, unbolt and remove existing piping and pipe supports per 'Destruct Detail' of isometric drawing 00-YYYY-L-ZZZZ.
2.3.5. Make good any remaining foundations and/or metal structures and perform coating repairs per TES COM-SU-5191-TCO.
2.3.6. Bevel cut ends of existing piping at the tie-in point TP-001 for field welding as shown on isometric drawing(s) 00-YYYY-L-ZZZZ.
2.3.7. Inspect the prepared weld bevel ends 100% VT and 100 % MT/PT for defects. NOTE: Perform inspection of weld bevels and nipo-flange landings PRIOR to welding.
2.3.8. Perform PMI at field joints per TCO RE QM SWP-20 on alloy materials listed in SWP-20 Appendix 20-1.
2.3.9. Install piping as specified on isometric drawing 00-YYYY-L-ZZZZ. For field welds use TCO-approved WPSs indicated on isometric drawing(s).
2.3.10. Perform NDE of field welds, as specified on isometric drawing(s) 00-YYYY-L-ZZZZ. NOTE: BP must check with MaxTrax admin on NDE requirements prior to commence welding works.
2.3.11. Perform field hydrostatic testing of new piping as specified on isometric drawing(s) 00-YYYY-L-ZZZZ in accordance with TES PIM-SU-3541-TCO. NOTE: Test water used for 300-series stainless steel piping shall be water with chloride content less than 50 ppm. Perform Water Sampling and Analysis per TES PIM-SU-3541-TCO Section 5.
2.3.12. All QM piping passport documentation (A-category Checklists) to be verified and signed by TCO-approved QM Inspector prior to PSSR, but not later than 24 hours after mechanical scope completion.
2.3.13. Advise xxxxx yyyyy/ zzzzz mmmm, DTEC KTL Plant Support / DTEC T/A / SGP/SGI, / FUPO Engineer at ext. 0000 about work completion and invite all necessary people to PSSR.
2.3.14. Job Pack Coordinator shall submit the completed PIC check-list to Operations department after being signed by Quality Management group. (Form is provided by QM Dept.).
2.3.15. Conduct PSSR and close out A-category punch points.
2.3.16. Clean up the work area and demobilize from site.</t>
  </si>
  <si>
    <t>150P01 is refers to 150P21. Therefore, 'surface preparation' line shouldn't be genrated. The lines weren't generated (6. NDE tie-in point 001 to determine adequate wall thickness for welding. NDE reports shall be approved by TCO FER unit inspector prior to cut
8. Submit corroded flange to RE MI (micon@, IBMOA office #2052) group for root cause analysis review.
14. Perform service test.
15. Perform surface preparation and touch up field welds and any other coating damages in accordance with TES COM-SU-4743-TCO and coating system(s) per TES COM-SU-5191-TCO specified on cover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</si>
</sst>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Calibri"/>
      <family val="2"/>
      <charset val="1"/>
    </font>
    <font>
      <b/>
      <sz val="12"/>
      <color rgb="FFFFFFFF"/>
      <name val="Arial"/>
      <charset val="1"/>
    </font>
    <font>
      <sz val="10"/>
      <color rgb="FF1A1A1A"/>
      <name val="Arial"/>
      <charset val="1"/>
    </font>
    <font>
      <b/>
      <sz val="10"/>
      <name val="Arial"/>
      <charset val="1"/>
    </font>
    <font>
      <i/>
      <sz val="10"/>
      <color rgb="FF1A1A1A"/>
      <name val="Arial"/>
      <charset val="1"/>
    </font>
    <font>
      <b/>
      <sz val="10"/>
      <color rgb="FF0D1B2A"/>
      <name val="Arial"/>
      <charset val="1"/>
    </font>
    <font>
      <b/>
      <sz val="9"/>
      <color rgb="FF0D1B2A"/>
      <name val="Arial"/>
      <charset val="1"/>
    </font>
    <font>
      <sz val="9"/>
      <name val="Arial"/>
      <charset val="1"/>
    </font>
    <font>
      <sz val="9"/>
      <color rgb="FF0D1B2A"/>
      <name val="Arial"/>
      <charset val="1"/>
    </font>
    <font>
      <sz val="9"/>
      <color rgb="FF8FA3B1"/>
      <name val="Arial"/>
      <charset val="1"/>
    </font>
    <font>
      <sz val="9"/>
      <color rgb="FF1A1A1A"/>
      <name val="Arial"/>
      <charset val="1"/>
    </font>
    <font>
      <b/>
      <sz val="10"/>
      <color rgb="FFF4831F"/>
      <name val="Arial"/>
      <charset val="1"/>
    </font>
    <font>
      <sz val="10"/>
      <color rgb="FF1A1A1A"/>
      <name val="Arial"/>
      <family val="2"/>
      <charset val="204"/>
    </font>
    <font>
      <b/>
      <sz val="10"/>
      <color rgb="FF0D1B2A"/>
      <name val="Arial"/>
      <family val="2"/>
      <charset val="204"/>
    </font>
    <font>
      <b/>
      <sz val="10"/>
      <name val="Arial"/>
      <family val="2"/>
      <charset val="204"/>
    </font>
    <font>
      <b/>
      <sz val="10"/>
      <color theme="1"/>
      <name val="Arial"/>
      <family val="2"/>
      <charset val="204"/>
    </font>
    <font>
      <sz val="9"/>
      <name val="Arial"/>
      <family val="2"/>
      <charset val="204"/>
    </font>
    <font>
      <sz val="9"/>
      <color rgb="FF1A1A1A"/>
      <name val="Arial"/>
      <family val="2"/>
    </font>
    <font>
      <sz val="10"/>
      <name val="Arial"/>
      <family val="2"/>
    </font>
    <font>
      <b/>
      <sz val="10"/>
      <name val="Arial"/>
      <family val="2"/>
    </font>
    <font>
      <b/>
      <sz val="10"/>
      <color rgb="FF0D1B2A"/>
      <name val="Arial"/>
      <family val="2"/>
    </font>
    <font>
      <b/>
      <sz val="18"/>
      <color rgb="FFFFFFFF"/>
      <name val="Arial"/>
      <family val="2"/>
    </font>
    <font>
      <sz val="11"/>
      <color theme="1"/>
      <name val="Arial"/>
      <family val="2"/>
    </font>
    <font>
      <i/>
      <sz val="11"/>
      <color rgb="FFFFFFFF"/>
      <name val="Arial"/>
      <family val="2"/>
    </font>
    <font>
      <b/>
      <sz val="13"/>
      <color rgb="FF0D1B2A"/>
      <name val="Arial"/>
      <family val="2"/>
    </font>
    <font>
      <i/>
      <sz val="10"/>
      <color rgb="FF8FA3B1"/>
      <name val="Arial"/>
      <family val="2"/>
    </font>
    <font>
      <b/>
      <sz val="11"/>
      <color rgb="FF1A9FD8"/>
      <name val="Arial"/>
      <family val="2"/>
    </font>
    <font>
      <b/>
      <sz val="11"/>
      <color rgb="FF000000"/>
      <name val="Arial"/>
      <family val="2"/>
    </font>
    <font>
      <b/>
      <sz val="11"/>
      <color rgb="FFF4831F"/>
      <name val="Arial"/>
      <family val="2"/>
    </font>
    <font>
      <b/>
      <sz val="11"/>
      <color rgb="FFB8860B"/>
      <name val="Arial"/>
      <family val="2"/>
    </font>
    <font>
      <b/>
      <sz val="11"/>
      <color rgb="FF7B3FA0"/>
      <name val="Arial"/>
      <family val="2"/>
    </font>
    <font>
      <b/>
      <sz val="11"/>
      <color rgb="FF0A7C2D"/>
      <name val="Arial"/>
      <family val="2"/>
    </font>
    <font>
      <b/>
      <sz val="11"/>
      <color rgb="FF9B1B30"/>
      <name val="Arial"/>
      <family val="2"/>
    </font>
    <font>
      <b/>
      <sz val="14"/>
      <color rgb="FF1A9FD8"/>
      <name val="Arial"/>
      <family val="2"/>
    </font>
    <font>
      <b/>
      <sz val="14"/>
      <color rgb="FFFFFFFF"/>
      <name val="Arial"/>
      <family val="2"/>
    </font>
    <font>
      <b/>
      <sz val="14"/>
      <color rgb="FFF4831F"/>
      <name val="Arial"/>
      <family val="2"/>
    </font>
    <font>
      <b/>
      <sz val="14"/>
      <color rgb="FFB8860B"/>
      <name val="Arial"/>
      <family val="2"/>
    </font>
    <font>
      <b/>
      <sz val="14"/>
      <color rgb="FF7B3FA0"/>
      <name val="Arial"/>
      <family val="2"/>
    </font>
    <font>
      <b/>
      <sz val="14"/>
      <color rgb="FF0A7C2D"/>
      <name val="Arial"/>
      <family val="2"/>
    </font>
    <font>
      <b/>
      <sz val="14"/>
      <color rgb="FF9B1B30"/>
      <name val="Arial"/>
      <family val="2"/>
    </font>
    <font>
      <b/>
      <sz val="10"/>
      <color rgb="FF1A9FD8"/>
      <name val="Arial"/>
      <family val="2"/>
    </font>
    <font>
      <b/>
      <sz val="10"/>
      <color rgb="FF000000"/>
      <name val="Arial"/>
      <family val="2"/>
    </font>
    <font>
      <b/>
      <sz val="10"/>
      <color rgb="FFF4831F"/>
      <name val="Arial"/>
      <family val="2"/>
    </font>
    <font>
      <b/>
      <sz val="10"/>
      <color rgb="FFB8860B"/>
      <name val="Arial"/>
      <family val="2"/>
    </font>
    <font>
      <b/>
      <sz val="10"/>
      <color rgb="FF7B3FA0"/>
      <name val="Arial"/>
      <family val="2"/>
    </font>
    <font>
      <b/>
      <sz val="10"/>
      <color rgb="FF0A7C2D"/>
      <name val="Arial"/>
      <family val="2"/>
    </font>
    <font>
      <b/>
      <sz val="10"/>
      <color rgb="FF9B1B30"/>
      <name val="Arial"/>
      <family val="2"/>
    </font>
    <font>
      <b/>
      <sz val="13"/>
      <color rgb="FFF4831F"/>
      <name val="Arial"/>
      <family val="2"/>
    </font>
    <font>
      <b/>
      <sz val="11"/>
      <color rgb="FFFFFFFF"/>
      <name val="Arial"/>
      <family val="2"/>
    </font>
    <font>
      <i/>
      <sz val="10"/>
      <color rgb="FF000000"/>
      <name val="Arial"/>
      <family val="2"/>
    </font>
    <font>
      <sz val="10"/>
      <color rgb="FF263238"/>
      <name val="Arial"/>
      <family val="2"/>
    </font>
    <font>
      <i/>
      <sz val="10"/>
      <color rgb="FFFF0000"/>
      <name val="Arial"/>
      <family val="2"/>
    </font>
    <font>
      <sz val="11"/>
      <color rgb="FFFF0000"/>
      <name val="Arial"/>
      <family val="2"/>
    </font>
    <font>
      <b/>
      <sz val="10"/>
      <color rgb="FF263238"/>
      <name val="Arial"/>
      <family val="2"/>
    </font>
    <font>
      <b/>
      <sz val="10"/>
      <color rgb="FFFF0000"/>
      <name val="Arial"/>
      <family val="2"/>
    </font>
    <font>
      <b/>
      <sz val="13"/>
      <color rgb="FF0A7C2D"/>
      <name val="Arial"/>
      <family val="2"/>
    </font>
    <font>
      <sz val="13"/>
      <color rgb="FF0A7C2D"/>
      <name val="Arial"/>
      <family val="2"/>
    </font>
    <font>
      <i/>
      <sz val="10"/>
      <color rgb="FF0A7C2D"/>
      <name val="Arial"/>
      <family val="2"/>
    </font>
    <font>
      <b/>
      <sz val="11"/>
      <color rgb="FF0D1B2A"/>
      <name val="Arial"/>
      <family val="2"/>
    </font>
    <font>
      <i/>
      <sz val="11"/>
      <color rgb="FF000000"/>
      <name val="Arial"/>
      <family val="2"/>
    </font>
    <font>
      <i/>
      <sz val="10"/>
      <color rgb="FF1A1A1A"/>
      <name val="Arial"/>
      <family val="2"/>
    </font>
    <font>
      <sz val="11"/>
      <name val="Calibri"/>
      <family val="2"/>
      <charset val="1"/>
    </font>
    <font>
      <b/>
      <sz val="11"/>
      <name val="Arial"/>
      <family val="2"/>
    </font>
    <font>
      <i/>
      <sz val="10"/>
      <name val="Arial"/>
      <family val="2"/>
    </font>
    <font>
      <b/>
      <sz val="12"/>
      <name val="Arial"/>
      <family val="2"/>
    </font>
    <font>
      <b/>
      <sz val="16"/>
      <name val="Arial"/>
      <family val="2"/>
    </font>
    <font>
      <b/>
      <sz val="13"/>
      <color rgb="FF0D1B2A"/>
      <name val="Arial"/>
    </font>
    <font>
      <sz val="13"/>
      <color rgb="FF0D1B2A"/>
      <name val="Arial"/>
    </font>
    <font>
      <i/>
      <sz val="13"/>
      <color rgb="FF0D1B2A"/>
      <name val="Arial"/>
    </font>
    <font>
      <b/>
      <sz val="9"/>
      <name val="Arial"/>
      <family val="2"/>
    </font>
    <font>
      <sz val="9"/>
      <name val="Arial"/>
      <family val="2"/>
    </font>
    <font>
      <sz val="8"/>
      <name val="Calibri"/>
      <family val="2"/>
      <charset val="1"/>
    </font>
    <font>
      <sz val="9"/>
      <color rgb="FF0D1B2A"/>
      <name val="Arial"/>
      <family val="2"/>
    </font>
    <font>
      <sz val="9"/>
      <color indexed="81"/>
      <name val="Tahoma"/>
      <charset val="1"/>
    </font>
    <font>
      <b/>
      <sz val="9"/>
      <color indexed="81"/>
      <name val="Tahoma"/>
      <charset val="1"/>
    </font>
  </fonts>
  <fills count="15">
    <fill>
      <patternFill patternType="none"/>
    </fill>
    <fill>
      <patternFill patternType="gray125"/>
    </fill>
    <fill>
      <patternFill patternType="solid">
        <fgColor rgb="FF0D1B2A"/>
      </patternFill>
    </fill>
    <fill>
      <patternFill patternType="solid">
        <fgColor rgb="FF1A9FD8"/>
      </patternFill>
    </fill>
    <fill>
      <patternFill patternType="solid">
        <fgColor rgb="FFEAF4FB"/>
      </patternFill>
    </fill>
    <fill>
      <patternFill patternType="solid">
        <fgColor rgb="FFFFFFFF"/>
      </patternFill>
    </fill>
    <fill>
      <patternFill patternType="solid">
        <fgColor rgb="FFFDE9D7"/>
      </patternFill>
    </fill>
    <fill>
      <patternFill patternType="solid">
        <fgColor rgb="FFFFF3CD"/>
      </patternFill>
    </fill>
    <fill>
      <patternFill patternType="solid">
        <fgColor rgb="FFF0E6FF"/>
      </patternFill>
    </fill>
    <fill>
      <patternFill patternType="solid">
        <fgColor rgb="FFD9F5E3"/>
      </patternFill>
    </fill>
    <fill>
      <patternFill patternType="solid">
        <fgColor rgb="FFFCE4E4"/>
      </patternFill>
    </fill>
    <fill>
      <patternFill patternType="solid">
        <fgColor rgb="FFECEFF1"/>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5">
    <border>
      <left/>
      <right/>
      <top/>
      <bottom/>
      <diagonal/>
    </border>
    <border>
      <left style="thin">
        <color rgb="FFB0BEC5"/>
      </left>
      <right style="thin">
        <color rgb="FFB0BEC5"/>
      </right>
      <top style="thin">
        <color rgb="FFB0BEC5"/>
      </top>
      <bottom style="thin">
        <color rgb="FFB0BEC5"/>
      </bottom>
      <diagonal/>
    </border>
    <border>
      <left style="thin">
        <color rgb="FFB0BEC5"/>
      </left>
      <right/>
      <top/>
      <bottom/>
      <diagonal/>
    </border>
    <border>
      <left style="thin">
        <color indexed="64"/>
      </left>
      <right style="thin">
        <color indexed="64"/>
      </right>
      <top style="thin">
        <color indexed="64"/>
      </top>
      <bottom style="thin">
        <color indexed="64"/>
      </bottom>
      <diagonal/>
    </border>
    <border>
      <left style="thin">
        <color rgb="FFB0BEC5"/>
      </left>
      <right style="thin">
        <color rgb="FFB0BEC5"/>
      </right>
      <top style="thin">
        <color rgb="FFB0BEC5"/>
      </top>
      <bottom/>
      <diagonal/>
    </border>
    <border>
      <left/>
      <right/>
      <top style="thin">
        <color rgb="FFB0BEC5"/>
      </top>
      <bottom style="thin">
        <color rgb="FFB0BEC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22">
    <xf numFmtId="0" fontId="0" fillId="0" borderId="0" xfId="0"/>
    <xf numFmtId="0" fontId="0" fillId="0" borderId="3" xfId="0" applyBorder="1"/>
    <xf numFmtId="0" fontId="22" fillId="0" borderId="0" xfId="0" applyFont="1"/>
    <xf numFmtId="0" fontId="26" fillId="4" borderId="3" xfId="0" applyFont="1" applyFill="1" applyBorder="1" applyAlignment="1">
      <alignment horizontal="center" vertical="center" wrapText="1"/>
    </xf>
    <xf numFmtId="0" fontId="27" fillId="5" borderId="5"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9" fillId="7" borderId="3" xfId="0" applyFont="1" applyFill="1" applyBorder="1" applyAlignment="1">
      <alignment horizontal="center" vertical="center" wrapText="1"/>
    </xf>
    <xf numFmtId="0" fontId="30" fillId="8" borderId="3" xfId="0" applyFont="1" applyFill="1" applyBorder="1" applyAlignment="1">
      <alignment horizontal="center" vertical="center" wrapText="1"/>
    </xf>
    <xf numFmtId="0" fontId="31" fillId="9" borderId="3" xfId="0" applyFont="1" applyFill="1" applyBorder="1" applyAlignment="1">
      <alignment horizontal="center" vertical="center" wrapText="1"/>
    </xf>
    <xf numFmtId="0" fontId="32" fillId="10" borderId="3" xfId="0" applyFont="1" applyFill="1" applyBorder="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4" borderId="3" xfId="0" applyFont="1" applyFill="1" applyBorder="1" applyAlignment="1">
      <alignment horizontal="center" vertical="center" wrapText="1"/>
    </xf>
    <xf numFmtId="0" fontId="41" fillId="5" borderId="0" xfId="0" applyFont="1" applyFill="1" applyAlignment="1">
      <alignment horizontal="center" vertical="center" wrapText="1"/>
    </xf>
    <xf numFmtId="0" fontId="42" fillId="6" borderId="3" xfId="0" applyFont="1" applyFill="1" applyBorder="1" applyAlignment="1">
      <alignment horizontal="center" vertical="center" wrapText="1"/>
    </xf>
    <xf numFmtId="0" fontId="43" fillId="7" borderId="3" xfId="0" applyFont="1" applyFill="1" applyBorder="1" applyAlignment="1">
      <alignment horizontal="center" vertical="center" wrapText="1"/>
    </xf>
    <xf numFmtId="0" fontId="44" fillId="8" borderId="3" xfId="0" applyFont="1" applyFill="1" applyBorder="1" applyAlignment="1">
      <alignment horizontal="center" vertical="center" wrapText="1"/>
    </xf>
    <xf numFmtId="0" fontId="45" fillId="9" borderId="3" xfId="0" applyFont="1" applyFill="1" applyBorder="1" applyAlignment="1">
      <alignment horizontal="center" vertical="center" wrapText="1"/>
    </xf>
    <xf numFmtId="0" fontId="46" fillId="10" borderId="3" xfId="0" applyFont="1" applyFill="1" applyBorder="1" applyAlignment="1">
      <alignment horizontal="center" vertical="center" wrapText="1"/>
    </xf>
    <xf numFmtId="0" fontId="19" fillId="0" borderId="3" xfId="0" applyFont="1" applyBorder="1" applyAlignment="1">
      <alignment horizontal="left" vertical="center" wrapText="1" indent="1"/>
    </xf>
    <xf numFmtId="0" fontId="3" fillId="0" borderId="3" xfId="0" applyFont="1" applyBorder="1" applyAlignment="1">
      <alignment horizontal="left" vertical="center" wrapText="1" indent="1"/>
    </xf>
    <xf numFmtId="0" fontId="4" fillId="0" borderId="3" xfId="0" applyFont="1" applyBorder="1" applyAlignment="1">
      <alignment horizontal="left" vertical="center" wrapText="1" inden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5" fillId="0" borderId="3" xfId="0" applyFont="1" applyBorder="1" applyAlignment="1">
      <alignment horizontal="center" vertical="center"/>
    </xf>
    <xf numFmtId="0" fontId="1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10"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0" fillId="0" borderId="3" xfId="0" applyBorder="1" applyAlignment="1">
      <alignment vertical="center" wrapText="1"/>
    </xf>
    <xf numFmtId="0" fontId="15"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7" fillId="0" borderId="3" xfId="0" applyFont="1" applyBorder="1" applyAlignment="1">
      <alignment horizontal="left" vertical="top" wrapText="1" indent="1"/>
    </xf>
    <xf numFmtId="0" fontId="7" fillId="0" borderId="3" xfId="0" applyFont="1" applyBorder="1" applyAlignment="1">
      <alignment horizontal="center" vertical="center"/>
    </xf>
    <xf numFmtId="0" fontId="19" fillId="0" borderId="3" xfId="0" applyFont="1" applyBorder="1" applyAlignment="1">
      <alignment horizontal="center" vertical="center" wrapText="1"/>
    </xf>
    <xf numFmtId="0" fontId="18" fillId="0" borderId="3" xfId="0" applyFont="1" applyBorder="1" applyAlignment="1">
      <alignment horizontal="left" vertical="center" wrapText="1" indent="1"/>
    </xf>
    <xf numFmtId="0" fontId="62" fillId="0" borderId="3" xfId="0" applyFont="1" applyBorder="1" applyAlignment="1">
      <alignment horizontal="center" vertical="center"/>
    </xf>
    <xf numFmtId="0" fontId="63" fillId="0" borderId="3" xfId="0" applyFont="1" applyBorder="1" applyAlignment="1">
      <alignment horizontal="left" vertical="center" wrapText="1" indent="1"/>
    </xf>
    <xf numFmtId="0" fontId="11" fillId="0" borderId="3" xfId="0" applyFont="1" applyBorder="1" applyAlignment="1">
      <alignment horizontal="center" vertical="center" wrapText="1" indent="1"/>
    </xf>
    <xf numFmtId="0" fontId="61" fillId="0" borderId="0" xfId="0" applyFont="1"/>
    <xf numFmtId="0" fontId="20" fillId="0" borderId="3" xfId="0" applyFont="1" applyBorder="1" applyAlignment="1">
      <alignment horizontal="center" vertical="center"/>
    </xf>
    <xf numFmtId="0" fontId="5" fillId="12" borderId="3" xfId="0" applyFont="1" applyFill="1" applyBorder="1" applyAlignment="1">
      <alignment horizontal="center" vertical="center"/>
    </xf>
    <xf numFmtId="0" fontId="5" fillId="13" borderId="3" xfId="0" applyFont="1" applyFill="1" applyBorder="1" applyAlignment="1">
      <alignment horizontal="center" vertical="center"/>
    </xf>
    <xf numFmtId="0" fontId="70" fillId="0" borderId="3" xfId="0" applyFont="1" applyBorder="1" applyAlignment="1">
      <alignment horizontal="left" vertical="top" wrapText="1" indent="1"/>
    </xf>
    <xf numFmtId="0" fontId="70" fillId="0" borderId="3" xfId="0" applyFont="1" applyBorder="1" applyAlignment="1">
      <alignment horizontal="center" vertical="center" wrapText="1"/>
    </xf>
    <xf numFmtId="0" fontId="70" fillId="0" borderId="9" xfId="0" applyFont="1" applyBorder="1" applyAlignment="1">
      <alignment horizontal="left" vertical="top" wrapText="1" indent="1"/>
    </xf>
    <xf numFmtId="0" fontId="20" fillId="12" borderId="3" xfId="0" applyFont="1" applyFill="1" applyBorder="1" applyAlignment="1">
      <alignment horizontal="center" vertical="center"/>
    </xf>
    <xf numFmtId="0" fontId="72"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69" fillId="0" borderId="3" xfId="0" applyFont="1" applyBorder="1" applyAlignment="1">
      <alignment horizontal="left" vertical="top" wrapText="1" indent="1"/>
    </xf>
    <xf numFmtId="0" fontId="14" fillId="0" borderId="6" xfId="0" applyFont="1" applyBorder="1" applyAlignment="1">
      <alignment horizontal="center" vertical="center" wrapText="1"/>
    </xf>
    <xf numFmtId="0" fontId="14" fillId="14" borderId="10" xfId="0" applyFont="1" applyFill="1" applyBorder="1" applyAlignment="1">
      <alignment horizontal="center" vertical="center" wrapText="1"/>
    </xf>
    <xf numFmtId="0" fontId="7"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7" fillId="0" borderId="8" xfId="0" applyFont="1" applyBorder="1" applyAlignment="1">
      <alignment horizontal="center" vertical="center"/>
    </xf>
    <xf numFmtId="0" fontId="14" fillId="13" borderId="10" xfId="0" applyFont="1" applyFill="1" applyBorder="1" applyAlignment="1">
      <alignment horizontal="center" vertical="center" wrapText="1"/>
    </xf>
    <xf numFmtId="0" fontId="18" fillId="13" borderId="3" xfId="0" applyFont="1" applyFill="1" applyBorder="1" applyAlignment="1">
      <alignment horizontal="left" vertical="center" wrapText="1" indent="1"/>
    </xf>
    <xf numFmtId="0" fontId="18" fillId="14" borderId="3" xfId="0" applyFont="1" applyFill="1" applyBorder="1" applyAlignment="1">
      <alignment horizontal="left" vertical="center" wrapText="1" indent="1"/>
    </xf>
    <xf numFmtId="14" fontId="7" fillId="0" borderId="3"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13" fillId="0" borderId="3" xfId="0" applyFont="1" applyBorder="1" applyAlignment="1">
      <alignment horizontal="center" vertical="center" wrapText="1"/>
    </xf>
    <xf numFmtId="0" fontId="0" fillId="0" borderId="3" xfId="0" applyBorder="1"/>
    <xf numFmtId="0" fontId="51" fillId="0" borderId="3" xfId="0" applyFont="1" applyBorder="1" applyAlignment="1">
      <alignment horizontal="left" vertical="center" wrapText="1"/>
    </xf>
    <xf numFmtId="0" fontId="52" fillId="0" borderId="3" xfId="0" applyFont="1" applyBorder="1"/>
    <xf numFmtId="0" fontId="23" fillId="3" borderId="0" xfId="0" applyFont="1" applyFill="1" applyAlignment="1">
      <alignment horizontal="center" vertical="center" wrapText="1"/>
    </xf>
    <xf numFmtId="0" fontId="22" fillId="0" borderId="0" xfId="0" applyFont="1"/>
    <xf numFmtId="0" fontId="48" fillId="2" borderId="4" xfId="0" applyFont="1" applyFill="1" applyBorder="1" applyAlignment="1">
      <alignment horizontal="center" vertical="center" wrapText="1"/>
    </xf>
    <xf numFmtId="0" fontId="21" fillId="2" borderId="0" xfId="0" applyFont="1" applyFill="1" applyAlignment="1">
      <alignment horizontal="center" vertical="center" wrapText="1"/>
    </xf>
    <xf numFmtId="0" fontId="48" fillId="2" borderId="2" xfId="0" applyFont="1" applyFill="1" applyBorder="1" applyAlignment="1">
      <alignment horizontal="center" vertical="center" wrapText="1"/>
    </xf>
    <xf numFmtId="0" fontId="48" fillId="2" borderId="0" xfId="0" applyFont="1" applyFill="1" applyAlignment="1">
      <alignment horizontal="center" vertical="center" wrapText="1"/>
    </xf>
    <xf numFmtId="0" fontId="50" fillId="0" borderId="3" xfId="0" applyFont="1" applyBorder="1" applyAlignment="1">
      <alignment horizontal="center" vertical="center" wrapText="1"/>
    </xf>
    <xf numFmtId="0" fontId="22" fillId="0" borderId="3" xfId="0" applyFont="1" applyBorder="1" applyAlignment="1">
      <alignment horizontal="center"/>
    </xf>
    <xf numFmtId="0" fontId="49" fillId="0" borderId="3" xfId="0" applyFont="1" applyBorder="1" applyAlignment="1">
      <alignment horizontal="center" vertical="center" wrapText="1"/>
    </xf>
    <xf numFmtId="0" fontId="66" fillId="4" borderId="0" xfId="0" applyFont="1" applyFill="1" applyAlignment="1">
      <alignment horizontal="left" vertical="center" wrapText="1"/>
    </xf>
    <xf numFmtId="0" fontId="25" fillId="0" borderId="0" xfId="0" applyFont="1" applyAlignment="1">
      <alignment horizontal="left" vertical="center" wrapText="1"/>
    </xf>
    <xf numFmtId="0" fontId="47" fillId="6" borderId="0" xfId="0" applyFont="1" applyFill="1" applyAlignment="1">
      <alignment horizontal="left" vertical="center" wrapText="1"/>
    </xf>
    <xf numFmtId="0" fontId="50" fillId="0" borderId="3" xfId="0" applyFont="1" applyBorder="1" applyAlignment="1">
      <alignment horizontal="left" vertical="center" wrapText="1"/>
    </xf>
    <xf numFmtId="0" fontId="22" fillId="0" borderId="3" xfId="0" applyFont="1" applyBorder="1"/>
    <xf numFmtId="0" fontId="57" fillId="0" borderId="3" xfId="0" applyFont="1" applyBorder="1" applyAlignment="1">
      <alignment horizontal="left" vertical="center" wrapText="1"/>
    </xf>
    <xf numFmtId="0" fontId="49" fillId="0" borderId="3" xfId="0" applyFont="1" applyBorder="1" applyAlignment="1">
      <alignment horizontal="left" vertical="center" wrapText="1"/>
    </xf>
    <xf numFmtId="0" fontId="59" fillId="0" borderId="1" xfId="0" applyFont="1" applyBorder="1" applyAlignment="1">
      <alignment horizontal="left" vertical="center" wrapText="1"/>
    </xf>
    <xf numFmtId="0" fontId="24" fillId="4" borderId="0" xfId="0" applyFont="1" applyFill="1" applyAlignment="1">
      <alignment horizontal="left" vertical="center" wrapText="1"/>
    </xf>
    <xf numFmtId="0" fontId="58" fillId="11" borderId="1" xfId="0" applyFont="1" applyFill="1" applyBorder="1" applyAlignment="1">
      <alignment horizontal="left" vertical="center" wrapText="1"/>
    </xf>
    <xf numFmtId="0" fontId="55" fillId="9" borderId="0" xfId="0" applyFont="1" applyFill="1" applyAlignment="1">
      <alignment horizontal="left" vertical="center" wrapText="1"/>
    </xf>
    <xf numFmtId="0" fontId="2" fillId="0" borderId="3" xfId="0" applyFont="1" applyBorder="1" applyAlignment="1">
      <alignment horizontal="left" vertical="center" wrapText="1" indent="1"/>
    </xf>
    <xf numFmtId="0" fontId="1" fillId="0" borderId="0" xfId="0" applyFont="1" applyAlignment="1">
      <alignment horizontal="left" vertical="center" indent="1"/>
    </xf>
    <xf numFmtId="0" fontId="0" fillId="0" borderId="0" xfId="0"/>
    <xf numFmtId="0" fontId="4" fillId="0" borderId="3" xfId="0" applyFont="1" applyBorder="1" applyAlignment="1">
      <alignment horizontal="left" vertical="center" wrapText="1" indent="1"/>
    </xf>
    <xf numFmtId="0" fontId="12" fillId="0" borderId="3" xfId="0" applyFont="1" applyBorder="1" applyAlignment="1">
      <alignment horizontal="left" vertical="center" wrapText="1" indent="1"/>
    </xf>
    <xf numFmtId="0" fontId="60" fillId="0" borderId="3" xfId="0" applyFont="1" applyBorder="1" applyAlignment="1">
      <alignment horizontal="left" vertical="center" wrapText="1" indent="1"/>
    </xf>
    <xf numFmtId="0" fontId="5" fillId="0" borderId="3"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3"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65" fillId="0" borderId="0" xfId="0" applyFont="1" applyAlignment="1">
      <alignment horizontal="left" vertical="center" indent="1"/>
    </xf>
    <xf numFmtId="0" fontId="61" fillId="0" borderId="0" xfId="0" applyFont="1"/>
    <xf numFmtId="0" fontId="64" fillId="0" borderId="0" xfId="0" applyFont="1" applyAlignment="1">
      <alignment horizontal="left" vertical="center" indent="1"/>
    </xf>
    <xf numFmtId="0" fontId="63" fillId="0" borderId="3" xfId="0" applyFont="1" applyBorder="1" applyAlignment="1">
      <alignment horizontal="left" vertical="center" wrapText="1" indent="1"/>
    </xf>
    <xf numFmtId="0" fontId="61" fillId="0" borderId="3" xfId="0" applyFont="1" applyBorder="1"/>
    <xf numFmtId="0" fontId="19" fillId="0" borderId="3" xfId="0" applyFont="1" applyBorder="1" applyAlignment="1">
      <alignment horizontal="center" vertical="center" wrapText="1"/>
    </xf>
  </cellXfs>
  <cellStyles count="1">
    <cellStyle name="Normal" xfId="0" builtinId="0"/>
  </cellStyles>
  <dxfs count="1">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7D6"/>
      <rgbColor rgb="FF808080"/>
      <rgbColor rgb="FF9999FF"/>
      <rgbColor rgb="FF993366"/>
      <rgbColor rgb="FFFFFDF0"/>
      <rgbColor rgb="FFE6F4EA"/>
      <rgbColor rgb="FF660066"/>
      <rgbColor rgb="FFFF8080"/>
      <rgbColor rgb="FF0066CC"/>
      <rgbColor rgb="FFF5E6FF"/>
      <rgbColor rgb="FF000080"/>
      <rgbColor rgb="FFFF00FF"/>
      <rgbColor rgb="FFFFFF00"/>
      <rgbColor rgb="FF00FFFF"/>
      <rgbColor rgb="FF800080"/>
      <rgbColor rgb="FF800000"/>
      <rgbColor rgb="FF008080"/>
      <rgbColor rgb="FF0000FF"/>
      <rgbColor rgb="FF00CCFF"/>
      <rgbColor rgb="FFEAF4FB"/>
      <rgbColor rgb="FFF0F8FF"/>
      <rgbColor rgb="FFF4F6F8"/>
      <rgbColor rgb="FF99CCFF"/>
      <rgbColor rgb="FFFF99CC"/>
      <rgbColor rgb="FFCC99FF"/>
      <rgbColor rgb="FFFFCC99"/>
      <rgbColor rgb="FF3366FF"/>
      <rgbColor rgb="FF1A9FD8"/>
      <rgbColor rgb="FF99CC00"/>
      <rgbColor rgb="FFFFCC00"/>
      <rgbColor rgb="FFF4831F"/>
      <rgbColor rgb="FFFF6600"/>
      <rgbColor rgb="FF666699"/>
      <rgbColor rgb="FF8FA3B1"/>
      <rgbColor rgb="FF0A1520"/>
      <rgbColor rgb="FF339966"/>
      <rgbColor rgb="FF0D1B2A"/>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microsoft.com/office/2023/09/relationships/Python" Target="python.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ustomXml" Target="../customXml/item4.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64546</xdr:colOff>
      <xdr:row>113</xdr:row>
      <xdr:rowOff>438927</xdr:rowOff>
    </xdr:from>
    <xdr:to>
      <xdr:col>8</xdr:col>
      <xdr:colOff>3258558</xdr:colOff>
      <xdr:row>113</xdr:row>
      <xdr:rowOff>974238</xdr:rowOff>
    </xdr:to>
    <xdr:pic>
      <xdr:nvPicPr>
        <xdr:cNvPr id="2" name="Picture 1">
          <a:extLst>
            <a:ext uri="{FF2B5EF4-FFF2-40B4-BE49-F238E27FC236}">
              <a16:creationId xmlns:a16="http://schemas.microsoft.com/office/drawing/2014/main" id="{31E9CE17-76CD-B91C-B85A-0B0B6535D2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72970" y="111664033"/>
          <a:ext cx="3180677" cy="53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116635</xdr:colOff>
      <xdr:row>86</xdr:row>
      <xdr:rowOff>60425</xdr:rowOff>
    </xdr:from>
    <xdr:to>
      <xdr:col>8</xdr:col>
      <xdr:colOff>3222139</xdr:colOff>
      <xdr:row>86</xdr:row>
      <xdr:rowOff>930211</xdr:rowOff>
    </xdr:to>
    <xdr:pic>
      <xdr:nvPicPr>
        <xdr:cNvPr id="4" name="Picture 3">
          <a:extLst>
            <a:ext uri="{FF2B5EF4-FFF2-40B4-BE49-F238E27FC236}">
              <a16:creationId xmlns:a16="http://schemas.microsoft.com/office/drawing/2014/main" id="{A4E79728-C8A9-7B33-0909-5BE7BD0770D3}"/>
            </a:ext>
          </a:extLst>
        </xdr:cNvPr>
        <xdr:cNvPicPr>
          <a:picLocks noChangeAspect="1"/>
        </xdr:cNvPicPr>
      </xdr:nvPicPr>
      <xdr:blipFill>
        <a:blip xmlns:r="http://schemas.openxmlformats.org/officeDocument/2006/relationships" r:embed="rId2"/>
        <a:stretch>
          <a:fillRect/>
        </a:stretch>
      </xdr:blipFill>
      <xdr:spPr>
        <a:xfrm>
          <a:off x="13725059" y="85180307"/>
          <a:ext cx="3101694" cy="873596"/>
        </a:xfrm>
        <a:prstGeom prst="rect">
          <a:avLst/>
        </a:prstGeom>
      </xdr:spPr>
    </xdr:pic>
    <xdr:clientData/>
  </xdr:twoCellAnchor>
  <xdr:twoCellAnchor editAs="oneCell">
    <xdr:from>
      <xdr:col>8</xdr:col>
      <xdr:colOff>108024</xdr:colOff>
      <xdr:row>110</xdr:row>
      <xdr:rowOff>997323</xdr:rowOff>
    </xdr:from>
    <xdr:to>
      <xdr:col>8</xdr:col>
      <xdr:colOff>3257998</xdr:colOff>
      <xdr:row>111</xdr:row>
      <xdr:rowOff>820488</xdr:rowOff>
    </xdr:to>
    <xdr:pic>
      <xdr:nvPicPr>
        <xdr:cNvPr id="5" name="Picture 4">
          <a:extLst>
            <a:ext uri="{FF2B5EF4-FFF2-40B4-BE49-F238E27FC236}">
              <a16:creationId xmlns:a16="http://schemas.microsoft.com/office/drawing/2014/main" id="{E244F04F-408E-4709-AF35-5CD569936F07}"/>
            </a:ext>
          </a:extLst>
        </xdr:cNvPr>
        <xdr:cNvPicPr>
          <a:picLocks noChangeAspect="1"/>
        </xdr:cNvPicPr>
      </xdr:nvPicPr>
      <xdr:blipFill>
        <a:blip xmlns:r="http://schemas.openxmlformats.org/officeDocument/2006/relationships" r:embed="rId3"/>
        <a:stretch>
          <a:fillRect/>
        </a:stretch>
      </xdr:blipFill>
      <xdr:spPr>
        <a:xfrm>
          <a:off x="13716448" y="110214335"/>
          <a:ext cx="3146164" cy="8176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edetov, Nauryzbek [Tengizchevroil]" id="{79CABE0C-1CD5-45A9-8D67-A5FAA1DCE5BE}" userId="S::nmds@tengizchevroil.com::6b0b9023-a4fa-45d4-b487-7955ebe92c6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C8D5A2-302F-44B2-A99D-370064E39BFB}" autoFormatId="16" applyNumberFormats="0" applyBorderFormats="0" applyFontFormats="0" applyPatternFormats="0" applyAlignmentFormats="0" applyWidthHeightFormats="0">
  <queryTableRefresh nextId="8">
    <queryTableFields count="7">
      <queryTableField id="1" name="Test ID" tableColumnId="1"/>
      <queryTableField id="2" name="PSW Recall %" tableColumnId="2"/>
      <queryTableField id="3" name="PSW Precision %" tableColumnId="3"/>
      <queryTableField id="4" name="PSW F1 %" tableColumnId="4"/>
      <queryTableField id="5" name="Shop Recall %" tableColumnId="5"/>
      <queryTableField id="6" name="Shop Precision %" tableColumnId="6"/>
      <queryTableField id="7" name="Shop F1 %"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18</v>
  </rv>
</rvData>
</file>

<file path=xl/richData/rdrichvaluestructure.xml><?xml version="1.0" encoding="utf-8"?>
<rvStructures xmlns="http://schemas.microsoft.com/office/spreadsheetml/2017/richdata" count="1">
  <s t="_error">
    <k n="errorType" t="i"/>
    <k n="subType" t="i"/>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9A0DF0-F13E-4C8D-9B27-2C2976F344F9}" name="FromArray_23" displayName="FromArray_23" ref="I2:O38" tableType="queryTable" totalsRowShown="0">
  <autoFilter ref="I2:O38" xr:uid="{F79A0DF0-F13E-4C8D-9B27-2C2976F344F9}"/>
  <tableColumns count="7">
    <tableColumn id="1" xr3:uid="{BDE26A3F-7D90-44AD-8466-9F3762FE71D5}" uniqueName="1" name="Test ID" queryTableFieldId="1" dataDxfId="0"/>
    <tableColumn id="2" xr3:uid="{8F325BD1-62AD-4C92-BB83-5E3FC2AFA2FE}" uniqueName="2" name="PSW Recall %" queryTableFieldId="2"/>
    <tableColumn id="3" xr3:uid="{1A89B7FF-2AD2-4DAB-A9B9-C62765843BA9}" uniqueName="3" name="PSW Precision %" queryTableFieldId="3"/>
    <tableColumn id="4" xr3:uid="{ACDA0E7B-F92F-4542-95A2-E2D2102E8F13}" uniqueName="4" name="PSW F1 %" queryTableFieldId="4"/>
    <tableColumn id="5" xr3:uid="{15E7326F-F799-4667-ACA1-B909A95F9A67}" uniqueName="5" name="Shop Recall %" queryTableFieldId="5"/>
    <tableColumn id="6" xr3:uid="{3807F2D7-B31B-4054-A9DB-604D9166FAE8}" uniqueName="6" name="Shop Precision %" queryTableFieldId="6"/>
    <tableColumn id="7" xr3:uid="{8395FB4A-6528-4F83-84CB-946A99FFC85B}" uniqueName="7" name="Shop F1 %"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7-01T10:16:46.27" personId="{79CABE0C-1CD5-45A9-8D67-A5FAA1DCE5BE}" id="{FD51A6B5-6EC7-40C2-94E0-D07F40D28BBC}">
    <text>Python code located in Evaluation page.</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showGridLines="0" zoomScale="115" zoomScaleNormal="115" workbookViewId="0">
      <selection activeCell="A19" sqref="A19"/>
    </sheetView>
  </sheetViews>
  <sheetFormatPr defaultRowHeight="14.4" x14ac:dyDescent="0.3"/>
  <cols>
    <col min="1" max="1" width="22" customWidth="1"/>
    <col min="2" max="2" width="4" customWidth="1"/>
    <col min="3" max="3" width="30" customWidth="1"/>
    <col min="4" max="4" width="4" customWidth="1"/>
    <col min="5" max="5" width="18" customWidth="1"/>
    <col min="6" max="6" width="34.6640625" customWidth="1"/>
    <col min="7" max="7" width="4" customWidth="1"/>
    <col min="8" max="8" width="28" customWidth="1"/>
    <col min="9" max="9" width="4" customWidth="1"/>
    <col min="10" max="10" width="50" customWidth="1"/>
  </cols>
  <sheetData>
    <row r="1" spans="1:10" ht="38.1" customHeight="1" x14ac:dyDescent="0.3">
      <c r="A1" s="85" t="s">
        <v>0</v>
      </c>
      <c r="B1" s="83"/>
      <c r="C1" s="83"/>
      <c r="D1" s="83"/>
      <c r="E1" s="83"/>
      <c r="F1" s="83"/>
      <c r="G1" s="83"/>
      <c r="H1" s="83"/>
      <c r="I1" s="83"/>
      <c r="J1" s="83"/>
    </row>
    <row r="2" spans="1:10" ht="24" customHeight="1" x14ac:dyDescent="0.3">
      <c r="A2" s="82" t="s">
        <v>1</v>
      </c>
      <c r="B2" s="83"/>
      <c r="C2" s="83"/>
      <c r="D2" s="83"/>
      <c r="E2" s="83"/>
      <c r="F2" s="83"/>
      <c r="G2" s="83"/>
      <c r="H2" s="83"/>
      <c r="I2" s="83"/>
      <c r="J2" s="83"/>
    </row>
    <row r="3" spans="1:10" ht="8.1" customHeight="1" x14ac:dyDescent="0.3">
      <c r="A3" s="2"/>
      <c r="B3" s="2"/>
      <c r="C3" s="2"/>
      <c r="D3" s="2"/>
      <c r="E3" s="2"/>
      <c r="F3" s="2"/>
      <c r="G3" s="2"/>
      <c r="H3" s="2"/>
      <c r="I3" s="2"/>
      <c r="J3" s="2"/>
    </row>
    <row r="4" spans="1:10" ht="26.1" customHeight="1" x14ac:dyDescent="0.3">
      <c r="A4" s="91" t="s">
        <v>2</v>
      </c>
      <c r="B4" s="83"/>
      <c r="C4" s="83"/>
      <c r="D4" s="83"/>
      <c r="E4" s="83"/>
      <c r="F4" s="83"/>
      <c r="G4" s="83"/>
      <c r="H4" s="83"/>
      <c r="I4" s="83"/>
      <c r="J4" s="83"/>
    </row>
    <row r="5" spans="1:10" ht="18" customHeight="1" x14ac:dyDescent="0.3">
      <c r="A5" s="92"/>
      <c r="B5" s="83"/>
      <c r="C5" s="83"/>
      <c r="D5" s="83"/>
      <c r="E5" s="83"/>
      <c r="F5" s="83"/>
      <c r="G5" s="83"/>
      <c r="H5" s="83"/>
      <c r="I5" s="83"/>
      <c r="J5" s="83"/>
    </row>
    <row r="6" spans="1:10" ht="50.1" customHeight="1" x14ac:dyDescent="0.3">
      <c r="A6" s="3" t="s">
        <v>3</v>
      </c>
      <c r="B6" s="4" t="s">
        <v>4</v>
      </c>
      <c r="C6" s="5" t="s">
        <v>5</v>
      </c>
      <c r="D6" s="4" t="s">
        <v>6</v>
      </c>
      <c r="E6" s="6" t="s">
        <v>7</v>
      </c>
      <c r="F6" s="7" t="s">
        <v>8</v>
      </c>
      <c r="G6" s="4" t="s">
        <v>4</v>
      </c>
      <c r="H6" s="8" t="s">
        <v>9</v>
      </c>
      <c r="I6" s="4" t="s">
        <v>4</v>
      </c>
      <c r="J6" s="9" t="s">
        <v>10</v>
      </c>
    </row>
    <row r="7" spans="1:10" ht="18" customHeight="1" x14ac:dyDescent="0.3">
      <c r="A7" s="10" t="s">
        <v>11</v>
      </c>
      <c r="B7" s="11"/>
      <c r="C7" s="12" t="s">
        <v>11</v>
      </c>
      <c r="D7" s="11"/>
      <c r="E7" s="13" t="s">
        <v>11</v>
      </c>
      <c r="F7" s="14" t="s">
        <v>11</v>
      </c>
      <c r="G7" s="11"/>
      <c r="H7" s="15" t="s">
        <v>11</v>
      </c>
      <c r="I7" s="11"/>
      <c r="J7" s="16" t="s">
        <v>11</v>
      </c>
    </row>
    <row r="8" spans="1:10" ht="27.9" customHeight="1" x14ac:dyDescent="0.3">
      <c r="A8" s="17" t="s">
        <v>12</v>
      </c>
      <c r="B8" s="18"/>
      <c r="C8" s="19" t="s">
        <v>13</v>
      </c>
      <c r="D8" s="18"/>
      <c r="E8" s="20" t="s">
        <v>14</v>
      </c>
      <c r="F8" s="21" t="s">
        <v>15</v>
      </c>
      <c r="G8" s="18"/>
      <c r="H8" s="22" t="s">
        <v>16</v>
      </c>
      <c r="I8" s="18"/>
      <c r="J8" s="23" t="s">
        <v>17</v>
      </c>
    </row>
    <row r="9" spans="1:10" ht="9.9" customHeight="1" x14ac:dyDescent="0.3">
      <c r="A9" s="2"/>
      <c r="B9" s="2"/>
      <c r="C9" s="2"/>
      <c r="D9" s="2"/>
      <c r="E9" s="2"/>
      <c r="F9" s="2"/>
      <c r="G9" s="2"/>
      <c r="H9" s="2"/>
      <c r="I9" s="2"/>
      <c r="J9" s="2"/>
    </row>
    <row r="10" spans="1:10" ht="26.1" customHeight="1" x14ac:dyDescent="0.3">
      <c r="A10" s="93" t="s">
        <v>18</v>
      </c>
      <c r="B10" s="83"/>
      <c r="C10" s="83"/>
      <c r="D10" s="83"/>
      <c r="E10" s="83"/>
      <c r="F10" s="83"/>
      <c r="G10" s="83"/>
      <c r="H10" s="83"/>
      <c r="I10" s="83"/>
      <c r="J10" s="83"/>
    </row>
    <row r="11" spans="1:10" ht="24" customHeight="1" x14ac:dyDescent="0.3">
      <c r="A11" s="84" t="s">
        <v>19</v>
      </c>
      <c r="B11" s="84" t="s">
        <v>20</v>
      </c>
      <c r="C11" s="83"/>
      <c r="D11" s="84" t="s">
        <v>21</v>
      </c>
      <c r="E11" s="83"/>
      <c r="F11" s="83"/>
      <c r="G11" s="84" t="s">
        <v>22</v>
      </c>
      <c r="H11" s="83"/>
      <c r="I11" s="86" t="s">
        <v>23</v>
      </c>
      <c r="J11" s="87"/>
    </row>
    <row r="12" spans="1:10" ht="56.1" customHeight="1" x14ac:dyDescent="0.3">
      <c r="A12" s="5" t="s">
        <v>24</v>
      </c>
      <c r="B12" s="90" t="s">
        <v>3</v>
      </c>
      <c r="C12" s="89"/>
      <c r="D12" s="88" t="s">
        <v>25</v>
      </c>
      <c r="E12" s="89"/>
      <c r="F12" s="89"/>
      <c r="G12" s="88" t="s">
        <v>26</v>
      </c>
      <c r="H12" s="89"/>
      <c r="I12" s="80" t="s">
        <v>27</v>
      </c>
      <c r="J12" s="81"/>
    </row>
    <row r="13" spans="1:10" ht="56.1" customHeight="1" x14ac:dyDescent="0.3">
      <c r="A13" s="5" t="s">
        <v>28</v>
      </c>
      <c r="B13" s="90" t="s">
        <v>29</v>
      </c>
      <c r="C13" s="89"/>
      <c r="D13" s="88" t="s">
        <v>30</v>
      </c>
      <c r="E13" s="89"/>
      <c r="F13" s="89"/>
      <c r="G13" s="88" t="s">
        <v>31</v>
      </c>
      <c r="H13" s="89"/>
      <c r="I13" s="80" t="s">
        <v>32</v>
      </c>
      <c r="J13" s="81"/>
    </row>
    <row r="14" spans="1:10" ht="56.1" customHeight="1" x14ac:dyDescent="0.3">
      <c r="A14" s="5" t="s">
        <v>14</v>
      </c>
      <c r="B14" s="90" t="s">
        <v>33</v>
      </c>
      <c r="C14" s="89"/>
      <c r="D14" s="88" t="s">
        <v>34</v>
      </c>
      <c r="E14" s="89"/>
      <c r="F14" s="89"/>
      <c r="G14" s="88" t="s">
        <v>35</v>
      </c>
      <c r="H14" s="89"/>
      <c r="I14" s="80" t="s">
        <v>36</v>
      </c>
      <c r="J14" s="81"/>
    </row>
    <row r="15" spans="1:10" ht="56.1" customHeight="1" x14ac:dyDescent="0.3">
      <c r="A15" s="5" t="s">
        <v>15</v>
      </c>
      <c r="B15" s="90" t="s">
        <v>37</v>
      </c>
      <c r="C15" s="89"/>
      <c r="D15" s="88" t="s">
        <v>38</v>
      </c>
      <c r="E15" s="89"/>
      <c r="F15" s="89"/>
      <c r="G15" s="88" t="s">
        <v>39</v>
      </c>
      <c r="H15" s="89"/>
      <c r="I15" s="80" t="s">
        <v>40</v>
      </c>
      <c r="J15" s="81"/>
    </row>
    <row r="16" spans="1:10" ht="56.1" customHeight="1" x14ac:dyDescent="0.3">
      <c r="A16" s="5" t="s">
        <v>41</v>
      </c>
      <c r="B16" s="90" t="s">
        <v>42</v>
      </c>
      <c r="C16" s="89"/>
      <c r="D16" s="88" t="s">
        <v>43</v>
      </c>
      <c r="E16" s="89"/>
      <c r="F16" s="89"/>
      <c r="G16" s="88" t="s">
        <v>44</v>
      </c>
      <c r="H16" s="89"/>
      <c r="I16" s="80" t="s">
        <v>45</v>
      </c>
      <c r="J16" s="81"/>
    </row>
    <row r="17" spans="1:10" ht="56.1" customHeight="1" x14ac:dyDescent="0.3">
      <c r="A17" s="5" t="s">
        <v>46</v>
      </c>
      <c r="B17" s="90" t="s">
        <v>47</v>
      </c>
      <c r="C17" s="89"/>
      <c r="D17" s="88" t="s">
        <v>48</v>
      </c>
      <c r="E17" s="89"/>
      <c r="F17" s="89"/>
      <c r="G17" s="88" t="s">
        <v>49</v>
      </c>
      <c r="H17" s="89"/>
      <c r="I17" s="80" t="s">
        <v>50</v>
      </c>
      <c r="J17" s="81"/>
    </row>
    <row r="18" spans="1:10" ht="56.1" customHeight="1" x14ac:dyDescent="0.3">
      <c r="A18" s="5" t="s">
        <v>51</v>
      </c>
      <c r="B18" s="90" t="s">
        <v>52</v>
      </c>
      <c r="C18" s="89"/>
      <c r="D18" s="88" t="s">
        <v>53</v>
      </c>
      <c r="E18" s="89"/>
      <c r="F18" s="89"/>
      <c r="G18" s="88" t="s">
        <v>54</v>
      </c>
      <c r="H18" s="89"/>
      <c r="I18" s="80" t="s">
        <v>55</v>
      </c>
      <c r="J18" s="81"/>
    </row>
    <row r="19" spans="1:10" ht="56.1" customHeight="1" x14ac:dyDescent="0.3">
      <c r="A19" s="5" t="s">
        <v>56</v>
      </c>
      <c r="B19" s="90" t="s">
        <v>57</v>
      </c>
      <c r="C19" s="89"/>
      <c r="D19" s="88" t="s">
        <v>58</v>
      </c>
      <c r="E19" s="89"/>
      <c r="F19" s="89"/>
      <c r="G19" s="88" t="s">
        <v>59</v>
      </c>
      <c r="H19" s="89"/>
      <c r="I19" s="80" t="s">
        <v>60</v>
      </c>
      <c r="J19" s="81"/>
    </row>
    <row r="20" spans="1:10" ht="9.9" customHeight="1" x14ac:dyDescent="0.3">
      <c r="A20" s="2"/>
      <c r="B20" s="2"/>
      <c r="C20" s="2"/>
      <c r="D20" s="2"/>
      <c r="E20" s="2"/>
      <c r="F20" s="2"/>
      <c r="G20" s="2"/>
      <c r="H20" s="2"/>
      <c r="I20" s="2"/>
      <c r="J20" s="2"/>
    </row>
    <row r="21" spans="1:10" ht="26.1" customHeight="1" x14ac:dyDescent="0.3">
      <c r="A21" s="101" t="s">
        <v>61</v>
      </c>
      <c r="B21" s="83"/>
      <c r="C21" s="83"/>
      <c r="D21" s="83"/>
      <c r="E21" s="83"/>
      <c r="F21" s="83"/>
      <c r="G21" s="83"/>
      <c r="H21" s="83"/>
      <c r="I21" s="83"/>
      <c r="J21" s="83"/>
    </row>
    <row r="22" spans="1:10" ht="24" customHeight="1" x14ac:dyDescent="0.3">
      <c r="A22" s="84" t="s">
        <v>19</v>
      </c>
      <c r="B22" s="84" t="s">
        <v>20</v>
      </c>
      <c r="C22" s="83"/>
      <c r="D22" s="84" t="s">
        <v>21</v>
      </c>
      <c r="E22" s="83"/>
      <c r="F22" s="83"/>
      <c r="G22" s="84" t="s">
        <v>23</v>
      </c>
      <c r="H22" s="83"/>
      <c r="I22" s="2"/>
      <c r="J22" s="2"/>
    </row>
    <row r="23" spans="1:10" ht="51.9" customHeight="1" x14ac:dyDescent="0.3">
      <c r="A23" s="8" t="s">
        <v>62</v>
      </c>
      <c r="B23" s="97" t="s">
        <v>63</v>
      </c>
      <c r="C23" s="95"/>
      <c r="D23" s="94" t="s">
        <v>64</v>
      </c>
      <c r="E23" s="95"/>
      <c r="F23" s="95"/>
      <c r="G23" s="96" t="s">
        <v>65</v>
      </c>
      <c r="H23" s="95"/>
      <c r="I23" s="2"/>
      <c r="J23" s="2"/>
    </row>
    <row r="24" spans="1:10" ht="51.9" customHeight="1" x14ac:dyDescent="0.3">
      <c r="A24" s="8" t="s">
        <v>66</v>
      </c>
      <c r="B24" s="97" t="s">
        <v>577</v>
      </c>
      <c r="C24" s="95"/>
      <c r="D24" s="94" t="s">
        <v>67</v>
      </c>
      <c r="E24" s="95"/>
      <c r="F24" s="95"/>
      <c r="G24" s="96" t="s">
        <v>68</v>
      </c>
      <c r="H24" s="95"/>
      <c r="I24" s="2"/>
      <c r="J24" s="2"/>
    </row>
    <row r="25" spans="1:10" ht="51.9" customHeight="1" x14ac:dyDescent="0.3">
      <c r="A25" s="8" t="s">
        <v>69</v>
      </c>
      <c r="B25" s="97" t="s">
        <v>70</v>
      </c>
      <c r="C25" s="95"/>
      <c r="D25" s="94" t="s">
        <v>71</v>
      </c>
      <c r="E25" s="95"/>
      <c r="F25" s="95"/>
      <c r="G25" s="96" t="s">
        <v>72</v>
      </c>
      <c r="H25" s="95"/>
      <c r="I25" s="2"/>
      <c r="J25" s="2"/>
    </row>
    <row r="26" spans="1:10" ht="9.9" customHeight="1" x14ac:dyDescent="0.3">
      <c r="A26" s="2"/>
      <c r="B26" s="2"/>
      <c r="C26" s="2"/>
      <c r="D26" s="2"/>
      <c r="E26" s="2"/>
      <c r="F26" s="2"/>
      <c r="G26" s="2"/>
      <c r="H26" s="2"/>
      <c r="I26" s="2"/>
      <c r="J26" s="2"/>
    </row>
    <row r="27" spans="1:10" ht="26.1" customHeight="1" x14ac:dyDescent="0.3">
      <c r="A27" s="99" t="s">
        <v>73</v>
      </c>
      <c r="B27" s="83"/>
      <c r="C27" s="83"/>
      <c r="D27" s="83"/>
      <c r="E27" s="83"/>
      <c r="F27" s="83"/>
      <c r="G27" s="83"/>
      <c r="H27" s="83"/>
      <c r="I27" s="83"/>
      <c r="J27" s="83"/>
    </row>
    <row r="28" spans="1:10" ht="21.9" customHeight="1" x14ac:dyDescent="0.3">
      <c r="A28" s="100" t="s">
        <v>74</v>
      </c>
      <c r="B28" s="83"/>
      <c r="C28" s="83"/>
      <c r="D28" s="83"/>
      <c r="E28" s="83"/>
      <c r="F28" s="83"/>
      <c r="G28" s="83"/>
      <c r="H28" s="83"/>
      <c r="I28" s="83"/>
      <c r="J28" s="83"/>
    </row>
    <row r="29" spans="1:10" ht="48" customHeight="1" x14ac:dyDescent="0.3">
      <c r="A29" s="98" t="s">
        <v>75</v>
      </c>
      <c r="B29" s="83"/>
      <c r="C29" s="83"/>
      <c r="D29" s="83"/>
      <c r="E29" s="83"/>
      <c r="F29" s="83"/>
      <c r="G29" s="83"/>
      <c r="H29" s="83"/>
      <c r="I29" s="83"/>
      <c r="J29" s="83"/>
    </row>
    <row r="30" spans="1:10" ht="21.9" customHeight="1" x14ac:dyDescent="0.3">
      <c r="A30" s="100" t="s">
        <v>76</v>
      </c>
      <c r="B30" s="83"/>
      <c r="C30" s="83"/>
      <c r="D30" s="83"/>
      <c r="E30" s="83"/>
      <c r="F30" s="83"/>
      <c r="G30" s="83"/>
      <c r="H30" s="83"/>
      <c r="I30" s="83"/>
      <c r="J30" s="83"/>
    </row>
    <row r="31" spans="1:10" ht="48" customHeight="1" x14ac:dyDescent="0.3">
      <c r="A31" s="98" t="s">
        <v>77</v>
      </c>
      <c r="B31" s="83"/>
      <c r="C31" s="83"/>
      <c r="D31" s="83"/>
      <c r="E31" s="83"/>
      <c r="F31" s="83"/>
      <c r="G31" s="83"/>
      <c r="H31" s="83"/>
      <c r="I31" s="83"/>
      <c r="J31" s="83"/>
    </row>
  </sheetData>
  <mergeCells count="61">
    <mergeCell ref="A31:J31"/>
    <mergeCell ref="B17:C17"/>
    <mergeCell ref="G25:H25"/>
    <mergeCell ref="D15:F15"/>
    <mergeCell ref="G16:H16"/>
    <mergeCell ref="A27:J27"/>
    <mergeCell ref="I15:J15"/>
    <mergeCell ref="G24:H24"/>
    <mergeCell ref="A29:J29"/>
    <mergeCell ref="D17:F17"/>
    <mergeCell ref="B15:C15"/>
    <mergeCell ref="A30:J30"/>
    <mergeCell ref="B24:C24"/>
    <mergeCell ref="A21:J21"/>
    <mergeCell ref="A28:J28"/>
    <mergeCell ref="G18:H18"/>
    <mergeCell ref="D25:F25"/>
    <mergeCell ref="B14:C14"/>
    <mergeCell ref="I19:J19"/>
    <mergeCell ref="G15:H15"/>
    <mergeCell ref="B25:C25"/>
    <mergeCell ref="B19:C19"/>
    <mergeCell ref="D16:F16"/>
    <mergeCell ref="I14:J14"/>
    <mergeCell ref="B22:C22"/>
    <mergeCell ref="I18:J18"/>
    <mergeCell ref="B23:C23"/>
    <mergeCell ref="G12:H12"/>
    <mergeCell ref="B16:C16"/>
    <mergeCell ref="G17:H17"/>
    <mergeCell ref="D24:F24"/>
    <mergeCell ref="D14:F14"/>
    <mergeCell ref="B12:C12"/>
    <mergeCell ref="D23:F23"/>
    <mergeCell ref="D12:F12"/>
    <mergeCell ref="B13:C13"/>
    <mergeCell ref="G23:H23"/>
    <mergeCell ref="G13:H13"/>
    <mergeCell ref="G22:H22"/>
    <mergeCell ref="I13:J13"/>
    <mergeCell ref="D19:F19"/>
    <mergeCell ref="I16:J16"/>
    <mergeCell ref="D18:F18"/>
    <mergeCell ref="G19:H19"/>
    <mergeCell ref="I17:J17"/>
    <mergeCell ref="I12:J12"/>
    <mergeCell ref="A2:J2"/>
    <mergeCell ref="A22"/>
    <mergeCell ref="A1:J1"/>
    <mergeCell ref="I11:J11"/>
    <mergeCell ref="D13:F13"/>
    <mergeCell ref="D22:F22"/>
    <mergeCell ref="G14:H14"/>
    <mergeCell ref="B18:C18"/>
    <mergeCell ref="A4:J4"/>
    <mergeCell ref="B11:C11"/>
    <mergeCell ref="D11:F11"/>
    <mergeCell ref="A5:J5"/>
    <mergeCell ref="G11:H11"/>
    <mergeCell ref="A10:J10"/>
    <mergeCell ref="A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H23"/>
  <sheetViews>
    <sheetView showGridLines="0" topLeftCell="A6" zoomScale="115" zoomScaleNormal="115" workbookViewId="0">
      <selection activeCell="C12" sqref="C12:H12"/>
    </sheetView>
  </sheetViews>
  <sheetFormatPr defaultColWidth="8.5546875" defaultRowHeight="14.4" x14ac:dyDescent="0.3"/>
  <cols>
    <col min="1" max="1" width="2" customWidth="1"/>
    <col min="2" max="7" width="14" customWidth="1"/>
    <col min="8" max="8" width="50" customWidth="1"/>
  </cols>
  <sheetData>
    <row r="2" spans="2:8" ht="21.75" customHeight="1" x14ac:dyDescent="0.3">
      <c r="B2" s="103" t="s">
        <v>78</v>
      </c>
      <c r="C2" s="104"/>
      <c r="D2" s="104"/>
      <c r="E2" s="104"/>
      <c r="F2" s="104"/>
      <c r="G2" s="104"/>
      <c r="H2" s="104"/>
    </row>
    <row r="3" spans="2:8" ht="41.1" customHeight="1" x14ac:dyDescent="0.3">
      <c r="B3" s="24" t="s">
        <v>79</v>
      </c>
      <c r="C3" s="102" t="s">
        <v>80</v>
      </c>
      <c r="D3" s="79"/>
      <c r="E3" s="79"/>
      <c r="F3" s="79"/>
      <c r="G3" s="79"/>
      <c r="H3" s="79"/>
    </row>
    <row r="4" spans="2:8" ht="38.1" customHeight="1" x14ac:dyDescent="0.3">
      <c r="B4" s="24" t="s">
        <v>81</v>
      </c>
      <c r="C4" s="106" t="s">
        <v>82</v>
      </c>
      <c r="D4" s="79"/>
      <c r="E4" s="79"/>
      <c r="F4" s="79"/>
      <c r="G4" s="79"/>
      <c r="H4" s="79"/>
    </row>
    <row r="5" spans="2:8" ht="32.1" customHeight="1" x14ac:dyDescent="0.3">
      <c r="B5" s="24" t="s">
        <v>83</v>
      </c>
      <c r="C5" s="106" t="s">
        <v>84</v>
      </c>
      <c r="D5" s="79"/>
      <c r="E5" s="79"/>
      <c r="F5" s="79"/>
      <c r="G5" s="79"/>
      <c r="H5" s="79"/>
    </row>
    <row r="6" spans="2:8" ht="36.6" customHeight="1" x14ac:dyDescent="0.3">
      <c r="B6" s="24" t="s">
        <v>85</v>
      </c>
      <c r="C6" s="102" t="s">
        <v>86</v>
      </c>
      <c r="D6" s="79"/>
      <c r="E6" s="79"/>
      <c r="F6" s="79"/>
      <c r="G6" s="79"/>
      <c r="H6" s="79"/>
    </row>
    <row r="7" spans="2:8" ht="31.5" customHeight="1" x14ac:dyDescent="0.3">
      <c r="B7" s="24" t="s">
        <v>87</v>
      </c>
      <c r="C7" s="106" t="s">
        <v>88</v>
      </c>
      <c r="D7" s="79"/>
      <c r="E7" s="79"/>
      <c r="F7" s="79"/>
      <c r="G7" s="79"/>
      <c r="H7" s="79"/>
    </row>
    <row r="9" spans="2:8" ht="21.75" customHeight="1" x14ac:dyDescent="0.3">
      <c r="B9" s="103" t="s">
        <v>89</v>
      </c>
      <c r="C9" s="104"/>
      <c r="D9" s="104"/>
      <c r="E9" s="104"/>
      <c r="F9" s="104"/>
      <c r="G9" s="104"/>
      <c r="H9" s="104"/>
    </row>
    <row r="10" spans="2:8" ht="36" customHeight="1" x14ac:dyDescent="0.3">
      <c r="B10" s="25" t="s">
        <v>90</v>
      </c>
      <c r="C10" s="105" t="s">
        <v>91</v>
      </c>
      <c r="D10" s="79"/>
      <c r="E10" s="79"/>
      <c r="F10" s="79"/>
      <c r="G10" s="79"/>
      <c r="H10" s="79"/>
    </row>
    <row r="11" spans="2:8" ht="36" customHeight="1" x14ac:dyDescent="0.3">
      <c r="B11" s="25" t="s">
        <v>92</v>
      </c>
      <c r="C11" s="105" t="s">
        <v>93</v>
      </c>
      <c r="D11" s="79"/>
      <c r="E11" s="79"/>
      <c r="F11" s="79"/>
      <c r="G11" s="79"/>
      <c r="H11" s="79"/>
    </row>
    <row r="12" spans="2:8" ht="36" customHeight="1" x14ac:dyDescent="0.3">
      <c r="B12" s="25" t="s">
        <v>94</v>
      </c>
      <c r="C12" s="105" t="s">
        <v>95</v>
      </c>
      <c r="D12" s="79"/>
      <c r="E12" s="79"/>
      <c r="F12" s="79"/>
      <c r="G12" s="79"/>
      <c r="H12" s="79"/>
    </row>
    <row r="13" spans="2:8" ht="36" customHeight="1" x14ac:dyDescent="0.3">
      <c r="B13" s="25" t="s">
        <v>96</v>
      </c>
      <c r="C13" s="105" t="s">
        <v>97</v>
      </c>
      <c r="D13" s="79"/>
      <c r="E13" s="79"/>
      <c r="F13" s="79"/>
      <c r="G13" s="79"/>
      <c r="H13" s="79"/>
    </row>
    <row r="14" spans="2:8" ht="36" customHeight="1" x14ac:dyDescent="0.3">
      <c r="B14" s="25" t="s">
        <v>98</v>
      </c>
      <c r="C14" s="105" t="s">
        <v>99</v>
      </c>
      <c r="D14" s="79"/>
      <c r="E14" s="79"/>
      <c r="F14" s="79"/>
      <c r="G14" s="79"/>
      <c r="H14" s="79"/>
    </row>
    <row r="15" spans="2:8" ht="36" customHeight="1" x14ac:dyDescent="0.3">
      <c r="B15" s="25" t="s">
        <v>100</v>
      </c>
      <c r="C15" s="107" t="s">
        <v>101</v>
      </c>
      <c r="D15" s="79"/>
      <c r="E15" s="79"/>
      <c r="F15" s="79"/>
      <c r="G15" s="79"/>
      <c r="H15" s="79"/>
    </row>
    <row r="17" spans="2:8" ht="21.75" customHeight="1" x14ac:dyDescent="0.3">
      <c r="B17" s="103" t="s">
        <v>102</v>
      </c>
      <c r="C17" s="104"/>
      <c r="D17" s="104"/>
      <c r="E17" s="104"/>
      <c r="F17" s="104"/>
      <c r="G17" s="104"/>
      <c r="H17" s="104"/>
    </row>
    <row r="18" spans="2:8" ht="21.75" customHeight="1" x14ac:dyDescent="0.3">
      <c r="B18" s="102" t="s">
        <v>103</v>
      </c>
      <c r="C18" s="79"/>
      <c r="D18" s="79"/>
      <c r="E18" s="79"/>
      <c r="F18" s="79"/>
      <c r="G18" s="79"/>
      <c r="H18" s="79"/>
    </row>
    <row r="19" spans="2:8" ht="21.75" customHeight="1" x14ac:dyDescent="0.3">
      <c r="B19" s="102" t="s">
        <v>104</v>
      </c>
      <c r="C19" s="79"/>
      <c r="D19" s="79"/>
      <c r="E19" s="79"/>
      <c r="F19" s="79"/>
      <c r="G19" s="79"/>
      <c r="H19" s="79"/>
    </row>
    <row r="20" spans="2:8" ht="21.75" customHeight="1" x14ac:dyDescent="0.3">
      <c r="B20" s="102" t="s">
        <v>105</v>
      </c>
      <c r="C20" s="79"/>
      <c r="D20" s="79"/>
      <c r="E20" s="79"/>
      <c r="F20" s="79"/>
      <c r="G20" s="79"/>
      <c r="H20" s="79"/>
    </row>
    <row r="21" spans="2:8" ht="21.75" customHeight="1" x14ac:dyDescent="0.3">
      <c r="B21" s="102" t="s">
        <v>106</v>
      </c>
      <c r="C21" s="79"/>
      <c r="D21" s="79"/>
      <c r="E21" s="79"/>
      <c r="F21" s="79"/>
      <c r="G21" s="79"/>
      <c r="H21" s="79"/>
    </row>
    <row r="22" spans="2:8" ht="21.75" customHeight="1" x14ac:dyDescent="0.3">
      <c r="B22" s="102" t="s">
        <v>107</v>
      </c>
      <c r="C22" s="79"/>
      <c r="D22" s="79"/>
      <c r="E22" s="79"/>
      <c r="F22" s="79"/>
      <c r="G22" s="79"/>
      <c r="H22" s="79"/>
    </row>
    <row r="23" spans="2:8" ht="21.75" customHeight="1" x14ac:dyDescent="0.3">
      <c r="B23" s="102" t="s">
        <v>108</v>
      </c>
      <c r="C23" s="79"/>
      <c r="D23" s="79"/>
      <c r="E23" s="79"/>
      <c r="F23" s="79"/>
      <c r="G23" s="79"/>
      <c r="H23" s="79"/>
    </row>
  </sheetData>
  <mergeCells count="20">
    <mergeCell ref="B2:H2"/>
    <mergeCell ref="C3:H3"/>
    <mergeCell ref="C15:H15"/>
    <mergeCell ref="C4:H4"/>
    <mergeCell ref="B23:H23"/>
    <mergeCell ref="C6:H6"/>
    <mergeCell ref="B17:H17"/>
    <mergeCell ref="C14:H14"/>
    <mergeCell ref="C5:H5"/>
    <mergeCell ref="B19:H19"/>
    <mergeCell ref="C7:H7"/>
    <mergeCell ref="B22:H22"/>
    <mergeCell ref="B18:H18"/>
    <mergeCell ref="B21:H21"/>
    <mergeCell ref="C13:H13"/>
    <mergeCell ref="C10:H10"/>
    <mergeCell ref="B9:H9"/>
    <mergeCell ref="C12:H12"/>
    <mergeCell ref="B20:H20"/>
    <mergeCell ref="C11:H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R38"/>
  <sheetViews>
    <sheetView showGridLines="0" zoomScaleNormal="100" workbookViewId="0">
      <pane xSplit="4" ySplit="2" topLeftCell="N36" activePane="bottomRight" state="frozen"/>
      <selection pane="topRight"/>
      <selection pane="bottomLeft"/>
      <selection pane="bottomRight" activeCell="O41" sqref="O41"/>
    </sheetView>
  </sheetViews>
  <sheetFormatPr defaultColWidth="8.5546875" defaultRowHeight="14.4" x14ac:dyDescent="0.3"/>
  <cols>
    <col min="1" max="1" width="10" customWidth="1"/>
    <col min="2" max="2" width="13.6640625" customWidth="1"/>
    <col min="3" max="3" width="16" customWidth="1"/>
    <col min="4" max="5" width="40" customWidth="1"/>
    <col min="6" max="6" width="46.88671875" customWidth="1"/>
    <col min="7" max="7" width="28" customWidth="1"/>
    <col min="8" max="8" width="14" customWidth="1"/>
    <col min="9" max="9" width="16" customWidth="1"/>
    <col min="10" max="10" width="11" customWidth="1"/>
    <col min="11" max="11" width="12" customWidth="1"/>
    <col min="12" max="14" width="50" customWidth="1"/>
    <col min="15" max="15" width="35" customWidth="1"/>
    <col min="16" max="16" width="30" customWidth="1"/>
    <col min="17" max="17" width="17.5546875" customWidth="1"/>
    <col min="18" max="18" width="35" customWidth="1"/>
  </cols>
  <sheetData>
    <row r="1" spans="1:18" ht="24" customHeight="1" x14ac:dyDescent="0.3">
      <c r="A1" s="27" t="s">
        <v>109</v>
      </c>
      <c r="B1" s="27" t="s">
        <v>485</v>
      </c>
      <c r="C1" s="72" t="s">
        <v>110</v>
      </c>
      <c r="D1" s="73"/>
      <c r="E1" s="73"/>
      <c r="F1" s="73"/>
      <c r="G1" s="73"/>
      <c r="H1" s="74"/>
      <c r="I1" s="75" t="s">
        <v>111</v>
      </c>
      <c r="J1" s="76"/>
      <c r="K1" s="77"/>
      <c r="L1" s="78" t="s">
        <v>112</v>
      </c>
      <c r="M1" s="79"/>
      <c r="N1" s="79"/>
      <c r="O1" s="79"/>
      <c r="P1" s="79"/>
      <c r="Q1" s="79"/>
      <c r="R1" s="79"/>
    </row>
    <row r="2" spans="1:18" ht="49.5" customHeight="1" x14ac:dyDescent="0.3">
      <c r="A2" s="28" t="s">
        <v>113</v>
      </c>
      <c r="B2" s="28"/>
      <c r="C2" s="28" t="s">
        <v>114</v>
      </c>
      <c r="D2" s="28" t="s">
        <v>115</v>
      </c>
      <c r="E2" s="28" t="s">
        <v>116</v>
      </c>
      <c r="F2" s="28" t="s">
        <v>117</v>
      </c>
      <c r="G2" s="28" t="s">
        <v>118</v>
      </c>
      <c r="H2" s="28" t="s">
        <v>119</v>
      </c>
      <c r="I2" s="28" t="s">
        <v>120</v>
      </c>
      <c r="J2" s="28" t="s">
        <v>85</v>
      </c>
      <c r="K2" s="28" t="s">
        <v>121</v>
      </c>
      <c r="L2" s="28" t="s">
        <v>122</v>
      </c>
      <c r="M2" s="28" t="s">
        <v>123</v>
      </c>
      <c r="N2" s="28" t="s">
        <v>124</v>
      </c>
      <c r="O2" s="28" t="s">
        <v>125</v>
      </c>
      <c r="P2" s="28" t="s">
        <v>126</v>
      </c>
      <c r="Q2" s="28" t="s">
        <v>127</v>
      </c>
      <c r="R2" s="28" t="s">
        <v>128</v>
      </c>
    </row>
    <row r="3" spans="1:18" ht="144.6" customHeight="1" x14ac:dyDescent="0.3">
      <c r="A3" s="54" t="s">
        <v>129</v>
      </c>
      <c r="B3" s="48" t="s">
        <v>590</v>
      </c>
      <c r="C3" s="30" t="s">
        <v>130</v>
      </c>
      <c r="D3" s="52" t="s">
        <v>131</v>
      </c>
      <c r="E3" s="31" t="s">
        <v>132</v>
      </c>
      <c r="F3" s="52" t="s">
        <v>133</v>
      </c>
      <c r="G3" s="52" t="s">
        <v>134</v>
      </c>
      <c r="H3" s="31" t="s">
        <v>135</v>
      </c>
      <c r="I3" s="55" t="s">
        <v>136</v>
      </c>
      <c r="J3" s="33" t="s">
        <v>137</v>
      </c>
      <c r="K3" s="34" t="s">
        <v>138</v>
      </c>
      <c r="L3" s="36" t="s">
        <v>139</v>
      </c>
      <c r="M3" s="35" t="s">
        <v>140</v>
      </c>
      <c r="N3" s="36" t="s">
        <v>141</v>
      </c>
      <c r="O3" s="35" t="s">
        <v>142</v>
      </c>
      <c r="P3" s="35" t="s">
        <v>143</v>
      </c>
      <c r="Q3" s="35">
        <v>1</v>
      </c>
      <c r="R3" s="35"/>
    </row>
    <row r="4" spans="1:18" ht="90" customHeight="1" x14ac:dyDescent="0.3">
      <c r="A4" s="49" t="s">
        <v>144</v>
      </c>
      <c r="B4" s="48" t="s">
        <v>590</v>
      </c>
      <c r="C4" s="31" t="s">
        <v>145</v>
      </c>
      <c r="D4" s="31" t="s">
        <v>146</v>
      </c>
      <c r="E4" s="31" t="s">
        <v>147</v>
      </c>
      <c r="F4" s="52" t="s">
        <v>148</v>
      </c>
      <c r="G4" s="31" t="s">
        <v>3</v>
      </c>
      <c r="H4" s="31" t="s">
        <v>135</v>
      </c>
      <c r="I4" s="32" t="s">
        <v>136</v>
      </c>
      <c r="J4" s="33" t="s">
        <v>137</v>
      </c>
      <c r="K4" s="34" t="s">
        <v>138</v>
      </c>
      <c r="L4" s="35" t="s">
        <v>149</v>
      </c>
      <c r="M4" s="36" t="s">
        <v>150</v>
      </c>
      <c r="N4" s="36" t="s">
        <v>151</v>
      </c>
      <c r="O4" s="35" t="s">
        <v>152</v>
      </c>
      <c r="P4" s="36" t="s">
        <v>153</v>
      </c>
      <c r="Q4" s="35">
        <v>4</v>
      </c>
      <c r="R4" s="35"/>
    </row>
    <row r="5" spans="1:18" ht="112.2" customHeight="1" x14ac:dyDescent="0.3">
      <c r="A5" s="49" t="s">
        <v>154</v>
      </c>
      <c r="B5" s="48" t="s">
        <v>590</v>
      </c>
      <c r="C5" s="31" t="s">
        <v>155</v>
      </c>
      <c r="D5" s="31" t="s">
        <v>156</v>
      </c>
      <c r="E5" s="31" t="s">
        <v>157</v>
      </c>
      <c r="F5" s="52" t="s">
        <v>158</v>
      </c>
      <c r="G5" s="31" t="s">
        <v>159</v>
      </c>
      <c r="H5" s="31" t="s">
        <v>160</v>
      </c>
      <c r="I5" s="32" t="s">
        <v>136</v>
      </c>
      <c r="J5" s="33" t="s">
        <v>137</v>
      </c>
      <c r="K5" s="34" t="s">
        <v>138</v>
      </c>
      <c r="L5" s="35" t="s">
        <v>161</v>
      </c>
      <c r="M5" s="36" t="s">
        <v>162</v>
      </c>
      <c r="N5" s="36" t="s">
        <v>163</v>
      </c>
      <c r="O5" s="35" t="s">
        <v>140</v>
      </c>
      <c r="P5" s="36" t="s">
        <v>164</v>
      </c>
      <c r="Q5" s="35">
        <v>6</v>
      </c>
      <c r="R5" s="35"/>
    </row>
    <row r="6" spans="1:18" ht="90" customHeight="1" x14ac:dyDescent="0.3">
      <c r="A6" s="49" t="s">
        <v>165</v>
      </c>
      <c r="B6" s="27" t="s">
        <v>582</v>
      </c>
      <c r="C6" s="31" t="s">
        <v>166</v>
      </c>
      <c r="D6" s="31" t="s">
        <v>140</v>
      </c>
      <c r="E6" s="31" t="s">
        <v>167</v>
      </c>
      <c r="F6" s="52" t="s">
        <v>168</v>
      </c>
      <c r="G6" s="31" t="s">
        <v>169</v>
      </c>
      <c r="H6" s="31" t="s">
        <v>160</v>
      </c>
      <c r="I6" s="32" t="s">
        <v>170</v>
      </c>
      <c r="J6" s="33" t="s">
        <v>137</v>
      </c>
      <c r="K6" s="34" t="s">
        <v>138</v>
      </c>
      <c r="L6" s="35" t="s">
        <v>171</v>
      </c>
      <c r="M6" s="36" t="s">
        <v>172</v>
      </c>
      <c r="N6" s="36" t="s">
        <v>173</v>
      </c>
      <c r="O6" s="35" t="s">
        <v>174</v>
      </c>
      <c r="P6" s="36" t="s">
        <v>175</v>
      </c>
      <c r="Q6" s="35">
        <v>7</v>
      </c>
      <c r="R6" s="35"/>
    </row>
    <row r="7" spans="1:18" ht="90" customHeight="1" x14ac:dyDescent="0.3">
      <c r="A7" s="54" t="s">
        <v>176</v>
      </c>
      <c r="B7" s="48" t="s">
        <v>590</v>
      </c>
      <c r="C7" s="31" t="s">
        <v>177</v>
      </c>
      <c r="D7" s="31" t="s">
        <v>140</v>
      </c>
      <c r="E7" s="31" t="s">
        <v>178</v>
      </c>
      <c r="F7" s="52" t="s">
        <v>179</v>
      </c>
      <c r="G7" s="31" t="s">
        <v>180</v>
      </c>
      <c r="H7" s="31" t="s">
        <v>135</v>
      </c>
      <c r="I7" s="32" t="s">
        <v>170</v>
      </c>
      <c r="J7" s="33" t="s">
        <v>137</v>
      </c>
      <c r="K7" s="34" t="s">
        <v>138</v>
      </c>
      <c r="L7" s="36" t="s">
        <v>181</v>
      </c>
      <c r="M7" s="36" t="s">
        <v>182</v>
      </c>
      <c r="N7" s="35" t="s">
        <v>183</v>
      </c>
      <c r="O7" s="35" t="s">
        <v>142</v>
      </c>
      <c r="P7" s="35" t="s">
        <v>184</v>
      </c>
      <c r="Q7" s="35">
        <v>6</v>
      </c>
      <c r="R7" s="35"/>
    </row>
    <row r="8" spans="1:18" ht="90" customHeight="1" x14ac:dyDescent="0.3">
      <c r="A8" s="54" t="s">
        <v>185</v>
      </c>
      <c r="B8" s="48" t="s">
        <v>590</v>
      </c>
      <c r="C8" s="31" t="s">
        <v>186</v>
      </c>
      <c r="D8" s="31" t="s">
        <v>140</v>
      </c>
      <c r="E8" s="31" t="s">
        <v>187</v>
      </c>
      <c r="F8" s="52" t="s">
        <v>188</v>
      </c>
      <c r="G8" s="31" t="s">
        <v>189</v>
      </c>
      <c r="H8" s="31" t="s">
        <v>135</v>
      </c>
      <c r="I8" s="55" t="s">
        <v>136</v>
      </c>
      <c r="J8" s="33" t="s">
        <v>137</v>
      </c>
      <c r="K8" s="34" t="s">
        <v>138</v>
      </c>
      <c r="L8" s="35" t="s">
        <v>190</v>
      </c>
      <c r="M8" s="36" t="s">
        <v>191</v>
      </c>
      <c r="N8" s="36" t="s">
        <v>192</v>
      </c>
      <c r="O8" s="35" t="s">
        <v>142</v>
      </c>
      <c r="P8" s="35" t="s">
        <v>193</v>
      </c>
      <c r="Q8" s="35">
        <v>5</v>
      </c>
      <c r="R8" s="35"/>
    </row>
    <row r="9" spans="1:18" ht="90" customHeight="1" x14ac:dyDescent="0.3">
      <c r="A9" s="49" t="s">
        <v>194</v>
      </c>
      <c r="B9" s="48" t="s">
        <v>590</v>
      </c>
      <c r="C9" s="31" t="s">
        <v>195</v>
      </c>
      <c r="D9" s="31" t="s">
        <v>140</v>
      </c>
      <c r="E9" s="31" t="s">
        <v>196</v>
      </c>
      <c r="F9" s="52" t="s">
        <v>197</v>
      </c>
      <c r="G9" s="31" t="s">
        <v>198</v>
      </c>
      <c r="H9" s="31" t="s">
        <v>160</v>
      </c>
      <c r="I9" s="32" t="s">
        <v>199</v>
      </c>
      <c r="J9" s="33" t="s">
        <v>137</v>
      </c>
      <c r="K9" s="34" t="s">
        <v>138</v>
      </c>
      <c r="L9" s="35" t="s">
        <v>200</v>
      </c>
      <c r="M9" s="35" t="s">
        <v>140</v>
      </c>
      <c r="N9" s="36" t="s">
        <v>201</v>
      </c>
      <c r="O9" s="35" t="s">
        <v>202</v>
      </c>
      <c r="P9" s="35" t="s">
        <v>203</v>
      </c>
      <c r="Q9" s="35">
        <v>1</v>
      </c>
      <c r="R9" s="35"/>
    </row>
    <row r="10" spans="1:18" ht="90" customHeight="1" x14ac:dyDescent="0.3">
      <c r="A10" s="54" t="s">
        <v>204</v>
      </c>
      <c r="B10" s="48" t="s">
        <v>590</v>
      </c>
      <c r="C10" s="31" t="s">
        <v>205</v>
      </c>
      <c r="D10" s="31" t="s">
        <v>140</v>
      </c>
      <c r="E10" s="31" t="s">
        <v>206</v>
      </c>
      <c r="F10" s="52" t="s">
        <v>207</v>
      </c>
      <c r="G10" s="31" t="s">
        <v>208</v>
      </c>
      <c r="H10" s="31" t="s">
        <v>135</v>
      </c>
      <c r="I10" s="32" t="s">
        <v>209</v>
      </c>
      <c r="J10" s="33" t="s">
        <v>137</v>
      </c>
      <c r="K10" s="34" t="s">
        <v>138</v>
      </c>
      <c r="L10" s="35" t="s">
        <v>200</v>
      </c>
      <c r="M10" s="36" t="s">
        <v>210</v>
      </c>
      <c r="N10" s="36" t="s">
        <v>211</v>
      </c>
      <c r="O10" s="35" t="s">
        <v>142</v>
      </c>
      <c r="P10" s="35" t="s">
        <v>212</v>
      </c>
      <c r="Q10" s="35">
        <v>5</v>
      </c>
      <c r="R10" s="35"/>
    </row>
    <row r="11" spans="1:18" ht="90" customHeight="1" x14ac:dyDescent="0.3">
      <c r="A11" s="49" t="s">
        <v>213</v>
      </c>
      <c r="B11" s="48" t="s">
        <v>590</v>
      </c>
      <c r="C11" s="31" t="s">
        <v>214</v>
      </c>
      <c r="D11" s="31" t="s">
        <v>140</v>
      </c>
      <c r="E11" s="31" t="s">
        <v>215</v>
      </c>
      <c r="F11" s="52" t="s">
        <v>216</v>
      </c>
      <c r="G11" s="31" t="s">
        <v>217</v>
      </c>
      <c r="H11" s="31" t="s">
        <v>135</v>
      </c>
      <c r="I11" s="32" t="s">
        <v>209</v>
      </c>
      <c r="J11" s="33" t="s">
        <v>137</v>
      </c>
      <c r="K11" s="34" t="s">
        <v>138</v>
      </c>
      <c r="L11" s="35" t="s">
        <v>218</v>
      </c>
      <c r="M11" s="35" t="s">
        <v>219</v>
      </c>
      <c r="N11" s="36" t="s">
        <v>220</v>
      </c>
      <c r="O11" s="35" t="s">
        <v>142</v>
      </c>
      <c r="P11" s="36" t="s">
        <v>221</v>
      </c>
      <c r="Q11" s="35">
        <v>6</v>
      </c>
      <c r="R11" s="35"/>
    </row>
    <row r="12" spans="1:18" ht="90" customHeight="1" x14ac:dyDescent="0.3">
      <c r="A12" s="54" t="s">
        <v>222</v>
      </c>
      <c r="B12" s="48" t="s">
        <v>590</v>
      </c>
      <c r="C12" s="31" t="s">
        <v>223</v>
      </c>
      <c r="D12" s="31" t="s">
        <v>140</v>
      </c>
      <c r="E12" s="31" t="s">
        <v>224</v>
      </c>
      <c r="F12" s="52" t="s">
        <v>225</v>
      </c>
      <c r="G12" s="31" t="s">
        <v>226</v>
      </c>
      <c r="H12" s="31" t="s">
        <v>160</v>
      </c>
      <c r="I12" s="55" t="s">
        <v>227</v>
      </c>
      <c r="J12" s="33" t="s">
        <v>137</v>
      </c>
      <c r="K12" s="34" t="s">
        <v>138</v>
      </c>
      <c r="L12" s="35" t="s">
        <v>228</v>
      </c>
      <c r="M12" s="35" t="s">
        <v>229</v>
      </c>
      <c r="N12" s="36" t="s">
        <v>230</v>
      </c>
      <c r="O12" s="35" t="s">
        <v>202</v>
      </c>
      <c r="P12" s="35" t="s">
        <v>231</v>
      </c>
      <c r="Q12" s="35">
        <v>3</v>
      </c>
      <c r="R12" s="35"/>
    </row>
    <row r="13" spans="1:18" ht="90" customHeight="1" x14ac:dyDescent="0.3">
      <c r="A13" s="54" t="s">
        <v>232</v>
      </c>
      <c r="B13" s="48" t="s">
        <v>590</v>
      </c>
      <c r="C13" s="31" t="s">
        <v>233</v>
      </c>
      <c r="D13" s="31" t="s">
        <v>140</v>
      </c>
      <c r="E13" s="31" t="s">
        <v>234</v>
      </c>
      <c r="F13" s="52" t="s">
        <v>235</v>
      </c>
      <c r="G13" s="31" t="s">
        <v>236</v>
      </c>
      <c r="H13" s="31" t="s">
        <v>721</v>
      </c>
      <c r="I13" s="32" t="s">
        <v>209</v>
      </c>
      <c r="J13" s="33" t="s">
        <v>137</v>
      </c>
      <c r="K13" s="34" t="s">
        <v>138</v>
      </c>
      <c r="L13" s="36" t="s">
        <v>237</v>
      </c>
      <c r="M13" s="36" t="s">
        <v>229</v>
      </c>
      <c r="N13" s="36" t="s">
        <v>230</v>
      </c>
      <c r="O13" s="36" t="s">
        <v>202</v>
      </c>
      <c r="P13" s="36" t="s">
        <v>231</v>
      </c>
      <c r="Q13" s="35">
        <v>3</v>
      </c>
      <c r="R13" s="35"/>
    </row>
    <row r="14" spans="1:18" ht="90" customHeight="1" x14ac:dyDescent="0.3">
      <c r="A14" s="54" t="s">
        <v>238</v>
      </c>
      <c r="B14" s="48" t="s">
        <v>590</v>
      </c>
      <c r="C14" s="31" t="s">
        <v>239</v>
      </c>
      <c r="D14" s="31" t="s">
        <v>140</v>
      </c>
      <c r="E14" s="31" t="s">
        <v>240</v>
      </c>
      <c r="F14" s="52" t="s">
        <v>241</v>
      </c>
      <c r="G14" s="31" t="s">
        <v>242</v>
      </c>
      <c r="H14" s="31" t="s">
        <v>160</v>
      </c>
      <c r="I14" s="32" t="s">
        <v>170</v>
      </c>
      <c r="J14" s="33" t="s">
        <v>137</v>
      </c>
      <c r="K14" s="34" t="s">
        <v>138</v>
      </c>
      <c r="L14" s="36" t="s">
        <v>237</v>
      </c>
      <c r="M14" s="36" t="s">
        <v>243</v>
      </c>
      <c r="N14" s="36" t="s">
        <v>244</v>
      </c>
      <c r="O14" s="36" t="s">
        <v>142</v>
      </c>
      <c r="P14" s="36" t="s">
        <v>245</v>
      </c>
      <c r="Q14" s="35">
        <v>6</v>
      </c>
      <c r="R14" s="35"/>
    </row>
    <row r="15" spans="1:18" ht="90" customHeight="1" x14ac:dyDescent="0.3">
      <c r="A15" s="49" t="s">
        <v>246</v>
      </c>
      <c r="B15" s="48" t="s">
        <v>590</v>
      </c>
      <c r="C15" s="31" t="s">
        <v>247</v>
      </c>
      <c r="D15" s="52" t="s">
        <v>248</v>
      </c>
      <c r="E15" s="31" t="s">
        <v>249</v>
      </c>
      <c r="F15" s="52" t="s">
        <v>250</v>
      </c>
      <c r="G15" s="31" t="s">
        <v>251</v>
      </c>
      <c r="H15" s="31" t="s">
        <v>135</v>
      </c>
      <c r="I15" s="55" t="s">
        <v>136</v>
      </c>
      <c r="J15" s="33" t="s">
        <v>137</v>
      </c>
      <c r="K15" s="34" t="s">
        <v>138</v>
      </c>
      <c r="L15" s="36" t="s">
        <v>140</v>
      </c>
      <c r="M15" s="36" t="s">
        <v>252</v>
      </c>
      <c r="N15" s="36" t="s">
        <v>253</v>
      </c>
      <c r="O15" s="36" t="s">
        <v>254</v>
      </c>
      <c r="P15" s="36" t="s">
        <v>255</v>
      </c>
      <c r="Q15" s="35">
        <v>3</v>
      </c>
      <c r="R15" s="35"/>
    </row>
    <row r="16" spans="1:18" ht="97.95" customHeight="1" x14ac:dyDescent="0.3">
      <c r="A16" s="49" t="s">
        <v>256</v>
      </c>
      <c r="B16" s="48" t="s">
        <v>590</v>
      </c>
      <c r="C16" s="31" t="s">
        <v>257</v>
      </c>
      <c r="D16" s="31" t="s">
        <v>258</v>
      </c>
      <c r="E16" s="31" t="s">
        <v>259</v>
      </c>
      <c r="F16" s="52" t="s">
        <v>260</v>
      </c>
      <c r="G16" s="31" t="s">
        <v>261</v>
      </c>
      <c r="H16" s="31" t="s">
        <v>135</v>
      </c>
      <c r="I16" s="32" t="s">
        <v>136</v>
      </c>
      <c r="J16" s="33" t="s">
        <v>137</v>
      </c>
      <c r="K16" s="34" t="s">
        <v>138</v>
      </c>
      <c r="L16" s="36" t="s">
        <v>140</v>
      </c>
      <c r="M16" s="36" t="s">
        <v>262</v>
      </c>
      <c r="N16" s="36" t="s">
        <v>263</v>
      </c>
      <c r="O16" s="36" t="s">
        <v>142</v>
      </c>
      <c r="P16" s="36" t="s">
        <v>255</v>
      </c>
      <c r="Q16" s="35">
        <v>3</v>
      </c>
      <c r="R16" s="35"/>
    </row>
    <row r="17" spans="1:18" ht="90" customHeight="1" x14ac:dyDescent="0.3">
      <c r="A17" s="49" t="s">
        <v>264</v>
      </c>
      <c r="B17" s="48" t="s">
        <v>590</v>
      </c>
      <c r="C17" s="31" t="s">
        <v>265</v>
      </c>
      <c r="D17" s="31" t="s">
        <v>140</v>
      </c>
      <c r="E17" s="31" t="s">
        <v>266</v>
      </c>
      <c r="F17" s="52" t="s">
        <v>267</v>
      </c>
      <c r="G17" s="31" t="s">
        <v>268</v>
      </c>
      <c r="H17" s="31" t="s">
        <v>160</v>
      </c>
      <c r="I17" s="32" t="s">
        <v>136</v>
      </c>
      <c r="J17" s="33" t="s">
        <v>137</v>
      </c>
      <c r="K17" s="34" t="s">
        <v>138</v>
      </c>
      <c r="L17" s="36" t="s">
        <v>228</v>
      </c>
      <c r="M17" s="36" t="s">
        <v>269</v>
      </c>
      <c r="N17" s="36" t="s">
        <v>270</v>
      </c>
      <c r="O17" s="36" t="s">
        <v>142</v>
      </c>
      <c r="P17" s="36" t="s">
        <v>245</v>
      </c>
      <c r="Q17" s="35">
        <v>6</v>
      </c>
      <c r="R17" s="35"/>
    </row>
    <row r="18" spans="1:18" ht="90" customHeight="1" x14ac:dyDescent="0.3">
      <c r="A18" s="49" t="s">
        <v>271</v>
      </c>
      <c r="B18" s="48" t="s">
        <v>590</v>
      </c>
      <c r="C18" s="31" t="s">
        <v>272</v>
      </c>
      <c r="D18" s="31" t="s">
        <v>140</v>
      </c>
      <c r="E18" s="31" t="s">
        <v>273</v>
      </c>
      <c r="F18" s="52" t="s">
        <v>274</v>
      </c>
      <c r="G18" s="31" t="s">
        <v>275</v>
      </c>
      <c r="H18" s="31" t="s">
        <v>160</v>
      </c>
      <c r="I18" s="32" t="s">
        <v>276</v>
      </c>
      <c r="J18" s="33" t="s">
        <v>137</v>
      </c>
      <c r="K18" s="34" t="s">
        <v>138</v>
      </c>
      <c r="L18" s="36" t="s">
        <v>277</v>
      </c>
      <c r="M18" s="36" t="s">
        <v>229</v>
      </c>
      <c r="N18" s="36" t="s">
        <v>278</v>
      </c>
      <c r="O18" s="36" t="s">
        <v>142</v>
      </c>
      <c r="P18" s="36" t="s">
        <v>245</v>
      </c>
      <c r="Q18" s="35">
        <v>3</v>
      </c>
      <c r="R18" s="35"/>
    </row>
    <row r="19" spans="1:18" ht="90" customHeight="1" x14ac:dyDescent="0.3">
      <c r="A19" s="49" t="s">
        <v>279</v>
      </c>
      <c r="B19" s="48" t="s">
        <v>590</v>
      </c>
      <c r="C19" s="31" t="s">
        <v>280</v>
      </c>
      <c r="D19" s="31" t="s">
        <v>140</v>
      </c>
      <c r="E19" s="31" t="s">
        <v>281</v>
      </c>
      <c r="F19" s="52" t="s">
        <v>282</v>
      </c>
      <c r="G19" s="31" t="s">
        <v>283</v>
      </c>
      <c r="H19" s="31" t="s">
        <v>160</v>
      </c>
      <c r="I19" s="32" t="s">
        <v>136</v>
      </c>
      <c r="J19" s="33" t="s">
        <v>137</v>
      </c>
      <c r="K19" s="34" t="s">
        <v>138</v>
      </c>
      <c r="L19" s="36" t="s">
        <v>284</v>
      </c>
      <c r="M19" s="36" t="s">
        <v>285</v>
      </c>
      <c r="N19" s="36" t="s">
        <v>286</v>
      </c>
      <c r="O19" s="37" t="s">
        <v>142</v>
      </c>
      <c r="P19" s="36" t="s">
        <v>245</v>
      </c>
      <c r="Q19" s="35">
        <v>6</v>
      </c>
      <c r="R19" s="35"/>
    </row>
    <row r="20" spans="1:18" ht="90" customHeight="1" x14ac:dyDescent="0.3">
      <c r="A20" s="49" t="s">
        <v>287</v>
      </c>
      <c r="B20" s="48" t="s">
        <v>590</v>
      </c>
      <c r="C20" s="31" t="s">
        <v>288</v>
      </c>
      <c r="D20" s="31" t="s">
        <v>140</v>
      </c>
      <c r="E20" s="31" t="s">
        <v>289</v>
      </c>
      <c r="F20" s="31" t="s">
        <v>290</v>
      </c>
      <c r="G20" s="31" t="s">
        <v>291</v>
      </c>
      <c r="H20" s="31" t="s">
        <v>160</v>
      </c>
      <c r="I20" s="32" t="s">
        <v>136</v>
      </c>
      <c r="J20" s="33" t="s">
        <v>137</v>
      </c>
      <c r="K20" s="34" t="s">
        <v>138</v>
      </c>
      <c r="L20" s="36" t="s">
        <v>292</v>
      </c>
      <c r="M20" s="36" t="s">
        <v>293</v>
      </c>
      <c r="N20" s="36" t="s">
        <v>294</v>
      </c>
      <c r="O20" s="36" t="s">
        <v>142</v>
      </c>
      <c r="P20" s="36" t="s">
        <v>295</v>
      </c>
      <c r="Q20" s="35">
        <v>5</v>
      </c>
      <c r="R20" s="35"/>
    </row>
    <row r="21" spans="1:18" ht="90" customHeight="1" x14ac:dyDescent="0.3">
      <c r="A21" s="49" t="s">
        <v>296</v>
      </c>
      <c r="B21" s="48" t="s">
        <v>590</v>
      </c>
      <c r="C21" s="31" t="s">
        <v>297</v>
      </c>
      <c r="D21" s="31" t="s">
        <v>298</v>
      </c>
      <c r="E21" s="31" t="s">
        <v>299</v>
      </c>
      <c r="F21" s="31" t="s">
        <v>300</v>
      </c>
      <c r="G21" s="31" t="s">
        <v>301</v>
      </c>
      <c r="H21" s="31" t="s">
        <v>160</v>
      </c>
      <c r="I21" s="32" t="s">
        <v>227</v>
      </c>
      <c r="J21" s="33" t="s">
        <v>137</v>
      </c>
      <c r="K21" s="34" t="s">
        <v>138</v>
      </c>
      <c r="L21" s="36" t="s">
        <v>302</v>
      </c>
      <c r="M21" s="36" t="s">
        <v>303</v>
      </c>
      <c r="N21" s="36" t="s">
        <v>304</v>
      </c>
      <c r="O21" s="36" t="s">
        <v>142</v>
      </c>
      <c r="P21" s="36" t="s">
        <v>295</v>
      </c>
      <c r="Q21" s="35">
        <v>5</v>
      </c>
      <c r="R21" s="35"/>
    </row>
    <row r="22" spans="1:18" ht="90" customHeight="1" x14ac:dyDescent="0.3">
      <c r="A22" s="49" t="s">
        <v>305</v>
      </c>
      <c r="B22" s="48" t="s">
        <v>590</v>
      </c>
      <c r="C22" s="31" t="s">
        <v>306</v>
      </c>
      <c r="D22" s="31" t="s">
        <v>307</v>
      </c>
      <c r="E22" s="31" t="s">
        <v>308</v>
      </c>
      <c r="F22" s="31" t="s">
        <v>309</v>
      </c>
      <c r="G22" s="31" t="s">
        <v>310</v>
      </c>
      <c r="H22" s="31" t="s">
        <v>135</v>
      </c>
      <c r="I22" s="32" t="s">
        <v>136</v>
      </c>
      <c r="J22" s="33" t="s">
        <v>137</v>
      </c>
      <c r="K22" s="34" t="s">
        <v>138</v>
      </c>
      <c r="L22" s="36" t="s">
        <v>228</v>
      </c>
      <c r="M22" s="36" t="s">
        <v>311</v>
      </c>
      <c r="N22" s="36" t="s">
        <v>312</v>
      </c>
      <c r="O22" s="36" t="s">
        <v>142</v>
      </c>
      <c r="P22" s="36" t="s">
        <v>245</v>
      </c>
      <c r="Q22" s="35">
        <v>6</v>
      </c>
      <c r="R22" s="35"/>
    </row>
    <row r="23" spans="1:18" ht="90" customHeight="1" x14ac:dyDescent="0.3">
      <c r="A23" s="49" t="s">
        <v>313</v>
      </c>
      <c r="B23" s="48" t="s">
        <v>590</v>
      </c>
      <c r="C23" s="31" t="s">
        <v>314</v>
      </c>
      <c r="D23" s="31" t="s">
        <v>315</v>
      </c>
      <c r="E23" s="31" t="s">
        <v>316</v>
      </c>
      <c r="F23" s="52" t="s">
        <v>317</v>
      </c>
      <c r="G23" s="31" t="s">
        <v>318</v>
      </c>
      <c r="H23" s="31" t="s">
        <v>135</v>
      </c>
      <c r="I23" s="32" t="s">
        <v>136</v>
      </c>
      <c r="J23" s="33" t="s">
        <v>137</v>
      </c>
      <c r="K23" s="34" t="s">
        <v>138</v>
      </c>
      <c r="L23" s="36" t="s">
        <v>228</v>
      </c>
      <c r="M23" s="36" t="s">
        <v>191</v>
      </c>
      <c r="N23" s="36" t="s">
        <v>319</v>
      </c>
      <c r="O23" s="36" t="s">
        <v>142</v>
      </c>
      <c r="P23" s="36" t="s">
        <v>142</v>
      </c>
      <c r="Q23" s="35">
        <v>6</v>
      </c>
      <c r="R23" s="35"/>
    </row>
    <row r="24" spans="1:18" ht="90" customHeight="1" x14ac:dyDescent="0.3">
      <c r="A24" s="49" t="s">
        <v>320</v>
      </c>
      <c r="B24" s="48" t="s">
        <v>590</v>
      </c>
      <c r="C24" s="31" t="s">
        <v>321</v>
      </c>
      <c r="D24" s="31" t="s">
        <v>322</v>
      </c>
      <c r="E24" s="31" t="s">
        <v>323</v>
      </c>
      <c r="F24" s="52" t="s">
        <v>324</v>
      </c>
      <c r="G24" s="31" t="s">
        <v>325</v>
      </c>
      <c r="H24" s="31" t="s">
        <v>135</v>
      </c>
      <c r="I24" s="32" t="s">
        <v>136</v>
      </c>
      <c r="J24" s="33" t="s">
        <v>137</v>
      </c>
      <c r="K24" s="34" t="s">
        <v>138</v>
      </c>
      <c r="L24" s="36" t="s">
        <v>326</v>
      </c>
      <c r="M24" s="36" t="s">
        <v>327</v>
      </c>
      <c r="N24" s="36" t="s">
        <v>328</v>
      </c>
      <c r="O24" s="36" t="s">
        <v>329</v>
      </c>
      <c r="P24" s="36" t="s">
        <v>330</v>
      </c>
      <c r="Q24" s="35">
        <v>4</v>
      </c>
      <c r="R24" s="35"/>
    </row>
    <row r="25" spans="1:18" ht="90" customHeight="1" x14ac:dyDescent="0.3">
      <c r="A25" s="49" t="s">
        <v>331</v>
      </c>
      <c r="B25" s="48" t="s">
        <v>590</v>
      </c>
      <c r="C25" s="31" t="s">
        <v>332</v>
      </c>
      <c r="D25" s="31" t="s">
        <v>333</v>
      </c>
      <c r="E25" s="31" t="s">
        <v>334</v>
      </c>
      <c r="F25" s="31" t="s">
        <v>335</v>
      </c>
      <c r="G25" s="31" t="s">
        <v>336</v>
      </c>
      <c r="H25" s="31" t="s">
        <v>135</v>
      </c>
      <c r="I25" s="32" t="s">
        <v>136</v>
      </c>
      <c r="J25" s="33" t="s">
        <v>137</v>
      </c>
      <c r="K25" s="34" t="s">
        <v>138</v>
      </c>
      <c r="L25" s="36" t="s">
        <v>337</v>
      </c>
      <c r="M25" s="36" t="s">
        <v>338</v>
      </c>
      <c r="N25" s="36" t="s">
        <v>339</v>
      </c>
      <c r="O25" s="36" t="s">
        <v>329</v>
      </c>
      <c r="P25" s="36" t="s">
        <v>340</v>
      </c>
      <c r="Q25" s="35">
        <v>4</v>
      </c>
      <c r="R25" s="35"/>
    </row>
    <row r="26" spans="1:18" ht="90" customHeight="1" x14ac:dyDescent="0.3">
      <c r="A26" s="49" t="s">
        <v>341</v>
      </c>
      <c r="B26" s="48" t="s">
        <v>590</v>
      </c>
      <c r="C26" s="31" t="s">
        <v>342</v>
      </c>
      <c r="D26" s="31" t="s">
        <v>343</v>
      </c>
      <c r="E26" s="31" t="s">
        <v>344</v>
      </c>
      <c r="F26" s="31" t="s">
        <v>345</v>
      </c>
      <c r="G26" s="31" t="s">
        <v>346</v>
      </c>
      <c r="H26" s="31" t="s">
        <v>160</v>
      </c>
      <c r="I26" s="32" t="s">
        <v>136</v>
      </c>
      <c r="J26" s="33" t="s">
        <v>137</v>
      </c>
      <c r="K26" s="34" t="s">
        <v>138</v>
      </c>
      <c r="L26" s="36" t="s">
        <v>347</v>
      </c>
      <c r="M26" s="36" t="s">
        <v>348</v>
      </c>
      <c r="N26" s="36" t="s">
        <v>349</v>
      </c>
      <c r="O26" s="36" t="s">
        <v>142</v>
      </c>
      <c r="P26" s="36" t="s">
        <v>295</v>
      </c>
      <c r="Q26" s="35">
        <v>5</v>
      </c>
      <c r="R26" s="35"/>
    </row>
    <row r="27" spans="1:18" ht="90" customHeight="1" x14ac:dyDescent="0.3">
      <c r="A27" s="49" t="s">
        <v>350</v>
      </c>
      <c r="B27" s="48" t="s">
        <v>590</v>
      </c>
      <c r="C27" s="31" t="s">
        <v>351</v>
      </c>
      <c r="D27" s="31" t="s">
        <v>140</v>
      </c>
      <c r="E27" s="31" t="s">
        <v>352</v>
      </c>
      <c r="F27" s="31" t="s">
        <v>353</v>
      </c>
      <c r="G27" s="31" t="s">
        <v>354</v>
      </c>
      <c r="H27" s="31" t="s">
        <v>135</v>
      </c>
      <c r="I27" s="32" t="s">
        <v>227</v>
      </c>
      <c r="J27" s="33" t="s">
        <v>137</v>
      </c>
      <c r="K27" s="34" t="s">
        <v>138</v>
      </c>
      <c r="L27" s="36" t="s">
        <v>355</v>
      </c>
      <c r="M27" s="36" t="s">
        <v>356</v>
      </c>
      <c r="N27" s="36" t="s">
        <v>357</v>
      </c>
      <c r="O27" s="36" t="s">
        <v>142</v>
      </c>
      <c r="P27" s="36" t="s">
        <v>358</v>
      </c>
      <c r="Q27" s="35">
        <v>6</v>
      </c>
      <c r="R27" s="35"/>
    </row>
    <row r="28" spans="1:18" ht="90" customHeight="1" x14ac:dyDescent="0.3">
      <c r="A28" s="49" t="s">
        <v>359</v>
      </c>
      <c r="B28" s="48" t="s">
        <v>590</v>
      </c>
      <c r="C28" s="31" t="s">
        <v>360</v>
      </c>
      <c r="D28" s="31" t="s">
        <v>361</v>
      </c>
      <c r="E28" s="31" t="s">
        <v>362</v>
      </c>
      <c r="F28" s="52" t="s">
        <v>363</v>
      </c>
      <c r="G28" s="31" t="s">
        <v>364</v>
      </c>
      <c r="H28" s="31" t="s">
        <v>160</v>
      </c>
      <c r="I28" s="32" t="s">
        <v>170</v>
      </c>
      <c r="J28" s="33" t="s">
        <v>365</v>
      </c>
      <c r="K28" s="34" t="s">
        <v>138</v>
      </c>
      <c r="L28" s="36" t="s">
        <v>190</v>
      </c>
      <c r="M28" s="36" t="s">
        <v>366</v>
      </c>
      <c r="N28" s="36" t="s">
        <v>367</v>
      </c>
      <c r="O28" s="36" t="s">
        <v>202</v>
      </c>
      <c r="P28" s="36" t="s">
        <v>368</v>
      </c>
      <c r="Q28" s="35">
        <v>9</v>
      </c>
      <c r="R28" s="35"/>
    </row>
    <row r="29" spans="1:18" ht="90" customHeight="1" x14ac:dyDescent="0.3">
      <c r="A29" s="50" t="s">
        <v>369</v>
      </c>
      <c r="B29" s="56" t="s">
        <v>615</v>
      </c>
      <c r="C29" s="31" t="s">
        <v>370</v>
      </c>
      <c r="D29" s="31" t="s">
        <v>140</v>
      </c>
      <c r="E29" s="31" t="s">
        <v>371</v>
      </c>
      <c r="F29" s="31" t="s">
        <v>372</v>
      </c>
      <c r="G29" s="31" t="s">
        <v>634</v>
      </c>
      <c r="H29" s="52" t="s">
        <v>160</v>
      </c>
      <c r="I29" s="55" t="s">
        <v>373</v>
      </c>
      <c r="J29" s="33" t="s">
        <v>365</v>
      </c>
      <c r="K29" s="34" t="s">
        <v>138</v>
      </c>
      <c r="L29" s="36" t="s">
        <v>374</v>
      </c>
      <c r="M29" s="36" t="s">
        <v>140</v>
      </c>
      <c r="N29" s="36" t="s">
        <v>375</v>
      </c>
      <c r="O29" s="36" t="s">
        <v>376</v>
      </c>
      <c r="P29" s="36" t="s">
        <v>377</v>
      </c>
      <c r="Q29" s="35">
        <v>1</v>
      </c>
      <c r="R29" s="35"/>
    </row>
    <row r="30" spans="1:18" ht="90" customHeight="1" x14ac:dyDescent="0.3">
      <c r="A30" s="50" t="s">
        <v>378</v>
      </c>
      <c r="B30" s="29"/>
      <c r="C30" s="31" t="s">
        <v>379</v>
      </c>
      <c r="D30" s="31" t="s">
        <v>140</v>
      </c>
      <c r="E30" s="52" t="s">
        <v>380</v>
      </c>
      <c r="F30" s="52" t="s">
        <v>381</v>
      </c>
      <c r="G30" s="31" t="s">
        <v>382</v>
      </c>
      <c r="H30" s="31" t="s">
        <v>160</v>
      </c>
      <c r="I30" s="32" t="s">
        <v>209</v>
      </c>
      <c r="J30" s="33" t="s">
        <v>365</v>
      </c>
      <c r="K30" s="34" t="s">
        <v>138</v>
      </c>
      <c r="L30" s="36" t="s">
        <v>374</v>
      </c>
      <c r="M30" s="36" t="s">
        <v>383</v>
      </c>
      <c r="N30" s="36" t="s">
        <v>384</v>
      </c>
      <c r="O30" s="36" t="s">
        <v>385</v>
      </c>
      <c r="P30" s="36" t="s">
        <v>386</v>
      </c>
      <c r="Q30" s="35">
        <v>7</v>
      </c>
      <c r="R30" s="35"/>
    </row>
    <row r="31" spans="1:18" ht="90" customHeight="1" x14ac:dyDescent="0.3">
      <c r="A31" s="50" t="s">
        <v>387</v>
      </c>
      <c r="B31" s="29"/>
      <c r="C31" s="31" t="s">
        <v>388</v>
      </c>
      <c r="D31" s="52" t="s">
        <v>389</v>
      </c>
      <c r="E31" s="52" t="s">
        <v>390</v>
      </c>
      <c r="F31" s="52" t="s">
        <v>391</v>
      </c>
      <c r="G31" s="31" t="s">
        <v>392</v>
      </c>
      <c r="H31" s="31" t="s">
        <v>160</v>
      </c>
      <c r="I31" s="32" t="s">
        <v>170</v>
      </c>
      <c r="J31" s="33" t="s">
        <v>365</v>
      </c>
      <c r="K31" s="34" t="s">
        <v>138</v>
      </c>
      <c r="L31" s="36" t="s">
        <v>374</v>
      </c>
      <c r="M31" s="36" t="s">
        <v>393</v>
      </c>
      <c r="N31" s="36" t="s">
        <v>394</v>
      </c>
      <c r="O31" s="36" t="s">
        <v>395</v>
      </c>
      <c r="P31" s="36" t="s">
        <v>396</v>
      </c>
      <c r="Q31" s="35">
        <v>6</v>
      </c>
      <c r="R31" s="35"/>
    </row>
    <row r="32" spans="1:18" ht="90" customHeight="1" x14ac:dyDescent="0.3">
      <c r="A32" s="50" t="s">
        <v>397</v>
      </c>
      <c r="B32" s="29"/>
      <c r="C32" s="31" t="s">
        <v>398</v>
      </c>
      <c r="D32" s="31" t="s">
        <v>399</v>
      </c>
      <c r="E32" s="31" t="s">
        <v>400</v>
      </c>
      <c r="F32" s="31" t="s">
        <v>401</v>
      </c>
      <c r="G32" s="31" t="s">
        <v>402</v>
      </c>
      <c r="H32" s="31" t="s">
        <v>160</v>
      </c>
      <c r="I32" s="32" t="s">
        <v>403</v>
      </c>
      <c r="J32" s="33" t="s">
        <v>365</v>
      </c>
      <c r="K32" s="34" t="s">
        <v>138</v>
      </c>
      <c r="L32" s="36" t="s">
        <v>404</v>
      </c>
      <c r="M32" s="36" t="s">
        <v>405</v>
      </c>
      <c r="N32" s="36" t="s">
        <v>406</v>
      </c>
      <c r="O32" s="36" t="s">
        <v>407</v>
      </c>
      <c r="P32" s="36" t="s">
        <v>408</v>
      </c>
      <c r="Q32" s="35">
        <v>6</v>
      </c>
      <c r="R32" s="35"/>
    </row>
    <row r="33" spans="1:18" ht="139.5" customHeight="1" x14ac:dyDescent="0.3">
      <c r="A33" s="49" t="s">
        <v>409</v>
      </c>
      <c r="B33" s="48" t="s">
        <v>590</v>
      </c>
      <c r="C33" s="31" t="s">
        <v>410</v>
      </c>
      <c r="D33" s="31" t="s">
        <v>411</v>
      </c>
      <c r="E33" s="31" t="s">
        <v>412</v>
      </c>
      <c r="F33" s="52" t="s">
        <v>636</v>
      </c>
      <c r="G33" s="31" t="s">
        <v>413</v>
      </c>
      <c r="H33" s="31" t="s">
        <v>160</v>
      </c>
      <c r="I33" s="32" t="s">
        <v>209</v>
      </c>
      <c r="J33" s="33" t="s">
        <v>365</v>
      </c>
      <c r="K33" s="34" t="s">
        <v>138</v>
      </c>
      <c r="L33" s="36" t="s">
        <v>140</v>
      </c>
      <c r="M33" s="36" t="s">
        <v>414</v>
      </c>
      <c r="N33" s="36" t="s">
        <v>415</v>
      </c>
      <c r="O33" s="36" t="s">
        <v>140</v>
      </c>
      <c r="P33" s="36" t="s">
        <v>416</v>
      </c>
      <c r="Q33" s="35">
        <v>6</v>
      </c>
      <c r="R33" s="35"/>
    </row>
    <row r="34" spans="1:18" ht="90" customHeight="1" x14ac:dyDescent="0.3">
      <c r="A34" s="49" t="s">
        <v>417</v>
      </c>
      <c r="B34" s="48" t="s">
        <v>590</v>
      </c>
      <c r="C34" s="31" t="s">
        <v>418</v>
      </c>
      <c r="D34" s="31" t="s">
        <v>419</v>
      </c>
      <c r="E34" s="31" t="s">
        <v>420</v>
      </c>
      <c r="F34" s="52" t="s">
        <v>421</v>
      </c>
      <c r="G34" s="31" t="s">
        <v>422</v>
      </c>
      <c r="H34" s="31" t="s">
        <v>160</v>
      </c>
      <c r="I34" s="32" t="s">
        <v>209</v>
      </c>
      <c r="J34" s="33" t="s">
        <v>365</v>
      </c>
      <c r="K34" s="34" t="s">
        <v>138</v>
      </c>
      <c r="L34" s="36" t="s">
        <v>140</v>
      </c>
      <c r="M34" s="36" t="s">
        <v>423</v>
      </c>
      <c r="N34" s="36" t="s">
        <v>424</v>
      </c>
      <c r="O34" s="36" t="s">
        <v>140</v>
      </c>
      <c r="P34" s="36" t="s">
        <v>425</v>
      </c>
      <c r="Q34" s="35">
        <v>7</v>
      </c>
      <c r="R34" s="35"/>
    </row>
    <row r="35" spans="1:18" ht="90" customHeight="1" x14ac:dyDescent="0.3">
      <c r="A35" s="49" t="s">
        <v>426</v>
      </c>
      <c r="B35" s="48" t="s">
        <v>590</v>
      </c>
      <c r="C35" s="31" t="s">
        <v>427</v>
      </c>
      <c r="D35" s="31" t="s">
        <v>428</v>
      </c>
      <c r="E35" s="31" t="s">
        <v>140</v>
      </c>
      <c r="F35" s="52" t="s">
        <v>429</v>
      </c>
      <c r="G35" s="31" t="s">
        <v>430</v>
      </c>
      <c r="H35" s="31" t="s">
        <v>160</v>
      </c>
      <c r="I35" s="32" t="s">
        <v>170</v>
      </c>
      <c r="J35" s="33" t="s">
        <v>365</v>
      </c>
      <c r="K35" s="34" t="s">
        <v>138</v>
      </c>
      <c r="L35" s="36" t="s">
        <v>431</v>
      </c>
      <c r="M35" s="36" t="s">
        <v>432</v>
      </c>
      <c r="N35" s="36" t="s">
        <v>433</v>
      </c>
      <c r="O35" s="36" t="s">
        <v>434</v>
      </c>
      <c r="P35" s="36" t="s">
        <v>435</v>
      </c>
      <c r="Q35" s="35">
        <v>6</v>
      </c>
      <c r="R35" s="35"/>
    </row>
    <row r="36" spans="1:18" ht="90" customHeight="1" x14ac:dyDescent="0.3">
      <c r="A36" s="50" t="s">
        <v>436</v>
      </c>
      <c r="B36" s="29"/>
      <c r="C36" s="31" t="s">
        <v>437</v>
      </c>
      <c r="D36" s="31" t="s">
        <v>438</v>
      </c>
      <c r="E36" s="31" t="s">
        <v>439</v>
      </c>
      <c r="F36" s="52" t="s">
        <v>440</v>
      </c>
      <c r="G36" s="31" t="s">
        <v>441</v>
      </c>
      <c r="H36" s="31" t="s">
        <v>160</v>
      </c>
      <c r="I36" s="32" t="s">
        <v>170</v>
      </c>
      <c r="J36" s="33" t="s">
        <v>365</v>
      </c>
      <c r="K36" s="34" t="s">
        <v>138</v>
      </c>
      <c r="L36" s="36" t="s">
        <v>228</v>
      </c>
      <c r="M36" s="36" t="s">
        <v>442</v>
      </c>
      <c r="N36" s="36" t="s">
        <v>443</v>
      </c>
      <c r="O36" s="36" t="s">
        <v>202</v>
      </c>
      <c r="P36" s="36" t="s">
        <v>444</v>
      </c>
      <c r="Q36" s="35">
        <v>6</v>
      </c>
      <c r="R36" s="35"/>
    </row>
    <row r="37" spans="1:18" ht="90" customHeight="1" x14ac:dyDescent="0.3">
      <c r="A37" s="50" t="s">
        <v>445</v>
      </c>
      <c r="B37" s="27" t="s">
        <v>581</v>
      </c>
      <c r="C37" s="31" t="s">
        <v>446</v>
      </c>
      <c r="D37" s="31" t="s">
        <v>447</v>
      </c>
      <c r="E37" s="31" t="s">
        <v>140</v>
      </c>
      <c r="F37" s="31" t="s">
        <v>448</v>
      </c>
      <c r="G37" s="31" t="s">
        <v>449</v>
      </c>
      <c r="H37" s="31" t="s">
        <v>160</v>
      </c>
      <c r="I37" s="32" t="s">
        <v>170</v>
      </c>
      <c r="J37" s="33" t="s">
        <v>365</v>
      </c>
      <c r="K37" s="34" t="s">
        <v>138</v>
      </c>
      <c r="L37" s="36" t="s">
        <v>450</v>
      </c>
      <c r="M37" s="36" t="s">
        <v>451</v>
      </c>
      <c r="N37" s="36" t="s">
        <v>452</v>
      </c>
      <c r="O37" s="36" t="s">
        <v>202</v>
      </c>
      <c r="P37" s="36" t="s">
        <v>453</v>
      </c>
      <c r="Q37" s="35">
        <v>7</v>
      </c>
      <c r="R37" s="35"/>
    </row>
    <row r="38" spans="1:18" ht="90" customHeight="1" x14ac:dyDescent="0.3">
      <c r="A38" s="49" t="s">
        <v>454</v>
      </c>
      <c r="B38" s="48" t="s">
        <v>590</v>
      </c>
      <c r="C38" s="31" t="s">
        <v>455</v>
      </c>
      <c r="D38" s="31" t="s">
        <v>456</v>
      </c>
      <c r="E38" s="31" t="s">
        <v>457</v>
      </c>
      <c r="F38" s="52" t="s">
        <v>458</v>
      </c>
      <c r="G38" s="31" t="s">
        <v>459</v>
      </c>
      <c r="H38" s="31" t="s">
        <v>160</v>
      </c>
      <c r="I38" s="32" t="s">
        <v>209</v>
      </c>
      <c r="J38" s="33" t="s">
        <v>365</v>
      </c>
      <c r="K38" s="34" t="s">
        <v>138</v>
      </c>
      <c r="L38" s="36" t="s">
        <v>140</v>
      </c>
      <c r="M38" s="36" t="s">
        <v>140</v>
      </c>
      <c r="N38" s="36" t="s">
        <v>460</v>
      </c>
      <c r="O38" s="36" t="s">
        <v>140</v>
      </c>
      <c r="P38" s="36" t="s">
        <v>425</v>
      </c>
      <c r="Q38" s="35">
        <v>0</v>
      </c>
      <c r="R38" s="35"/>
    </row>
  </sheetData>
  <autoFilter ref="A2:R38" xr:uid="{00000000-0001-0000-0200-000000000000}"/>
  <mergeCells count="3">
    <mergeCell ref="C1:H1"/>
    <mergeCell ref="I1:K1"/>
    <mergeCell ref="L1:R1"/>
  </mergeCells>
  <dataValidations count="2">
    <dataValidation type="list" allowBlank="1" sqref="K3:K38" xr:uid="{00000000-0002-0000-0200-000000000000}">
      <formula1>"Pending,Run,Reviewed,Pass,Fail,Needs rework"</formula1>
      <formula2>0</formula2>
    </dataValidation>
    <dataValidation type="list" allowBlank="1" sqref="J3:J38" xr:uid="{00000000-0002-0000-0200-000001000000}">
      <formula1>"Dev, Test"</formula1>
    </dataValidation>
  </dataValidation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K182"/>
  <sheetViews>
    <sheetView showGridLines="0" tabSelected="1" zoomScale="85" zoomScaleNormal="85" workbookViewId="0">
      <pane xSplit="2" ySplit="1" topLeftCell="C110" activePane="bottomRight" state="frozen"/>
      <selection pane="topRight" activeCell="B1" sqref="B1"/>
      <selection pane="bottomLeft" activeCell="A2" sqref="A2"/>
      <selection pane="bottomRight" activeCell="J117" sqref="J117"/>
    </sheetView>
  </sheetViews>
  <sheetFormatPr defaultColWidth="8.5546875" defaultRowHeight="14.4" x14ac:dyDescent="0.3"/>
  <cols>
    <col min="1" max="1" width="19" style="1" customWidth="1"/>
    <col min="2" max="2" width="17.109375" style="1" customWidth="1"/>
    <col min="3" max="3" width="14" style="1" customWidth="1"/>
    <col min="4" max="5" width="16.88671875" style="1" customWidth="1"/>
    <col min="6" max="6" width="14" style="1" customWidth="1"/>
    <col min="7" max="7" width="50" style="1" customWidth="1"/>
    <col min="8" max="8" width="50.5546875" style="1" customWidth="1"/>
    <col min="9" max="9" width="50" style="1" customWidth="1"/>
    <col min="10" max="10" width="50.5546875" style="1" customWidth="1"/>
    <col min="11" max="11" width="35" style="1" customWidth="1"/>
  </cols>
  <sheetData>
    <row r="1" spans="1:11" ht="21.75" customHeight="1" x14ac:dyDescent="0.3">
      <c r="A1" s="108" t="s">
        <v>461</v>
      </c>
      <c r="B1" s="79"/>
      <c r="C1" s="108" t="s">
        <v>462</v>
      </c>
      <c r="D1" s="79"/>
      <c r="E1" s="79"/>
      <c r="F1" s="79"/>
      <c r="G1" s="109" t="s">
        <v>463</v>
      </c>
      <c r="H1" s="110"/>
      <c r="I1" s="110"/>
      <c r="J1" s="110"/>
      <c r="K1" s="111"/>
    </row>
    <row r="2" spans="1:11" ht="39.75" customHeight="1" x14ac:dyDescent="0.3">
      <c r="A2" s="38" t="s">
        <v>113</v>
      </c>
      <c r="B2" s="38" t="s">
        <v>464</v>
      </c>
      <c r="C2" s="39" t="s">
        <v>465</v>
      </c>
      <c r="D2" s="39" t="s">
        <v>466</v>
      </c>
      <c r="E2" s="39" t="s">
        <v>467</v>
      </c>
      <c r="F2" s="39" t="s">
        <v>468</v>
      </c>
      <c r="G2" s="39" t="s">
        <v>469</v>
      </c>
      <c r="H2" s="39" t="s">
        <v>470</v>
      </c>
      <c r="I2" s="39" t="s">
        <v>471</v>
      </c>
      <c r="J2" s="39" t="s">
        <v>580</v>
      </c>
      <c r="K2" s="39" t="s">
        <v>472</v>
      </c>
    </row>
    <row r="3" spans="1:11" ht="79.5" customHeight="1" x14ac:dyDescent="0.3">
      <c r="A3" s="39" t="s">
        <v>129</v>
      </c>
      <c r="B3" s="39" t="s">
        <v>635</v>
      </c>
      <c r="C3" s="31" t="s">
        <v>652</v>
      </c>
      <c r="D3" s="40"/>
      <c r="E3" s="40"/>
      <c r="F3" s="40"/>
      <c r="G3" s="51" t="s">
        <v>622</v>
      </c>
      <c r="H3" s="51" t="s">
        <v>586</v>
      </c>
      <c r="I3" s="40"/>
      <c r="J3" s="51" t="s">
        <v>591</v>
      </c>
      <c r="K3" s="40"/>
    </row>
    <row r="4" spans="1:11" ht="79.5" customHeight="1" x14ac:dyDescent="0.3">
      <c r="A4" s="39"/>
      <c r="B4" s="39" t="s">
        <v>651</v>
      </c>
      <c r="C4" s="71">
        <v>46060</v>
      </c>
      <c r="D4" s="40"/>
      <c r="E4" s="40"/>
      <c r="F4" s="40"/>
      <c r="G4" s="51" t="s">
        <v>660</v>
      </c>
      <c r="H4" s="51" t="s">
        <v>668</v>
      </c>
      <c r="I4" s="40"/>
      <c r="J4" s="51" t="s">
        <v>670</v>
      </c>
      <c r="K4" s="40"/>
    </row>
    <row r="5" spans="1:11" ht="79.5" customHeight="1" x14ac:dyDescent="0.3">
      <c r="A5" s="39"/>
      <c r="B5" s="39" t="s">
        <v>705</v>
      </c>
      <c r="C5" s="71" t="s">
        <v>706</v>
      </c>
      <c r="D5" s="40"/>
      <c r="E5" s="40"/>
      <c r="F5" s="40"/>
      <c r="G5" s="51" t="s">
        <v>660</v>
      </c>
      <c r="H5" s="51" t="s">
        <v>656</v>
      </c>
      <c r="I5" s="51" t="s">
        <v>707</v>
      </c>
      <c r="J5" s="51"/>
      <c r="K5" s="40"/>
    </row>
    <row r="6" spans="1:11" ht="79.5" customHeight="1" x14ac:dyDescent="0.3">
      <c r="A6" s="39" t="s">
        <v>144</v>
      </c>
      <c r="B6" s="39" t="s">
        <v>635</v>
      </c>
      <c r="C6" s="31" t="s">
        <v>652</v>
      </c>
      <c r="D6" s="40"/>
      <c r="E6" s="40"/>
      <c r="F6" s="40"/>
      <c r="G6" s="51" t="s">
        <v>578</v>
      </c>
      <c r="H6" s="51" t="s">
        <v>592</v>
      </c>
      <c r="I6" s="40"/>
      <c r="J6" s="51" t="s">
        <v>593</v>
      </c>
      <c r="K6" s="40"/>
    </row>
    <row r="7" spans="1:11" ht="79.5" customHeight="1" x14ac:dyDescent="0.3">
      <c r="A7" s="39"/>
      <c r="B7" s="39" t="s">
        <v>651</v>
      </c>
      <c r="C7" s="71">
        <v>46060</v>
      </c>
      <c r="D7" s="40"/>
      <c r="E7" s="40"/>
      <c r="F7" s="40"/>
      <c r="G7" s="51" t="s">
        <v>578</v>
      </c>
      <c r="H7" s="51" t="s">
        <v>669</v>
      </c>
      <c r="I7" s="40"/>
      <c r="J7" s="51" t="s">
        <v>671</v>
      </c>
      <c r="K7" s="40"/>
    </row>
    <row r="8" spans="1:11" ht="79.5" customHeight="1" x14ac:dyDescent="0.3">
      <c r="A8" s="39"/>
      <c r="B8" s="39" t="s">
        <v>705</v>
      </c>
      <c r="C8" s="71" t="s">
        <v>706</v>
      </c>
      <c r="D8" s="40"/>
      <c r="E8" s="40"/>
      <c r="F8" s="40"/>
      <c r="G8" s="51" t="s">
        <v>578</v>
      </c>
      <c r="H8" s="51" t="s">
        <v>656</v>
      </c>
      <c r="I8" s="51" t="s">
        <v>708</v>
      </c>
      <c r="J8" s="51" t="s">
        <v>709</v>
      </c>
      <c r="K8" s="40"/>
    </row>
    <row r="9" spans="1:11" ht="79.5" customHeight="1" x14ac:dyDescent="0.3">
      <c r="A9" s="39" t="s">
        <v>154</v>
      </c>
      <c r="B9" s="39" t="s">
        <v>635</v>
      </c>
      <c r="C9" s="31" t="s">
        <v>652</v>
      </c>
      <c r="D9" s="40"/>
      <c r="E9" s="40"/>
      <c r="F9" s="40"/>
      <c r="G9" s="51" t="s">
        <v>624</v>
      </c>
      <c r="H9" s="51" t="s">
        <v>592</v>
      </c>
      <c r="I9" s="40"/>
      <c r="J9" s="51" t="s">
        <v>594</v>
      </c>
      <c r="K9" s="40"/>
    </row>
    <row r="10" spans="1:11" ht="79.5" customHeight="1" x14ac:dyDescent="0.3">
      <c r="A10" s="39"/>
      <c r="B10" s="39" t="s">
        <v>651</v>
      </c>
      <c r="C10" s="71">
        <v>46060</v>
      </c>
      <c r="D10" s="40"/>
      <c r="E10" s="40"/>
      <c r="F10" s="40"/>
      <c r="G10" s="51" t="s">
        <v>672</v>
      </c>
      <c r="H10" s="51" t="s">
        <v>668</v>
      </c>
      <c r="I10" s="40"/>
      <c r="J10" s="51" t="s">
        <v>673</v>
      </c>
      <c r="K10" s="40"/>
    </row>
    <row r="11" spans="1:11" ht="79.5" customHeight="1" x14ac:dyDescent="0.3">
      <c r="A11" s="39"/>
      <c r="B11" s="39" t="s">
        <v>705</v>
      </c>
      <c r="C11" s="71" t="s">
        <v>706</v>
      </c>
      <c r="D11" s="40"/>
      <c r="E11" s="40"/>
      <c r="F11" s="40"/>
      <c r="G11" s="51" t="s">
        <v>672</v>
      </c>
      <c r="H11" s="51" t="s">
        <v>668</v>
      </c>
      <c r="I11" s="51" t="s">
        <v>710</v>
      </c>
      <c r="J11" s="51" t="s">
        <v>711</v>
      </c>
      <c r="K11" s="40"/>
    </row>
    <row r="12" spans="1:11" ht="79.5" customHeight="1" x14ac:dyDescent="0.3">
      <c r="A12" s="39" t="s">
        <v>165</v>
      </c>
      <c r="B12" s="39" t="s">
        <v>635</v>
      </c>
      <c r="C12" s="31" t="s">
        <v>652</v>
      </c>
      <c r="D12" s="40"/>
      <c r="E12" s="40"/>
      <c r="F12" s="40"/>
      <c r="G12" s="40" t="s">
        <v>578</v>
      </c>
      <c r="H12" s="40" t="s">
        <v>586</v>
      </c>
      <c r="I12" s="40"/>
      <c r="J12" s="51" t="s">
        <v>595</v>
      </c>
      <c r="K12" s="40"/>
    </row>
    <row r="13" spans="1:11" ht="79.5" customHeight="1" x14ac:dyDescent="0.3">
      <c r="A13" s="39"/>
      <c r="B13" s="39" t="s">
        <v>651</v>
      </c>
      <c r="C13" s="71">
        <v>46060</v>
      </c>
      <c r="D13" s="40"/>
      <c r="E13" s="40"/>
      <c r="F13" s="40"/>
      <c r="G13" s="51" t="s">
        <v>578</v>
      </c>
      <c r="H13" s="51" t="s">
        <v>653</v>
      </c>
      <c r="I13" s="40"/>
      <c r="J13" s="51" t="s">
        <v>654</v>
      </c>
      <c r="K13" s="40"/>
    </row>
    <row r="14" spans="1:11" ht="79.5" customHeight="1" x14ac:dyDescent="0.3">
      <c r="A14" s="39"/>
      <c r="B14" s="39" t="s">
        <v>705</v>
      </c>
      <c r="C14" s="71" t="s">
        <v>706</v>
      </c>
      <c r="D14" s="40"/>
      <c r="E14" s="40"/>
      <c r="F14" s="40"/>
      <c r="G14" s="51" t="s">
        <v>578</v>
      </c>
      <c r="H14" s="51" t="s">
        <v>661</v>
      </c>
      <c r="I14" s="40" t="s">
        <v>712</v>
      </c>
      <c r="J14" s="53"/>
      <c r="K14" s="40"/>
    </row>
    <row r="15" spans="1:11" ht="79.5" customHeight="1" x14ac:dyDescent="0.3">
      <c r="A15" s="39" t="s">
        <v>176</v>
      </c>
      <c r="B15" s="39" t="s">
        <v>635</v>
      </c>
      <c r="C15" s="31" t="s">
        <v>652</v>
      </c>
      <c r="D15" s="40"/>
      <c r="E15" s="40"/>
      <c r="F15" s="40"/>
      <c r="G15" s="51" t="s">
        <v>625</v>
      </c>
      <c r="H15" s="51" t="s">
        <v>585</v>
      </c>
      <c r="I15" s="40"/>
      <c r="J15" s="53" t="s">
        <v>597</v>
      </c>
      <c r="K15" s="40"/>
    </row>
    <row r="16" spans="1:11" ht="79.5" customHeight="1" x14ac:dyDescent="0.3">
      <c r="A16" s="39"/>
      <c r="B16" s="39" t="s">
        <v>651</v>
      </c>
      <c r="C16" s="71">
        <v>46060</v>
      </c>
      <c r="D16" s="40"/>
      <c r="E16" s="40"/>
      <c r="F16" s="40"/>
      <c r="G16" s="51" t="s">
        <v>655</v>
      </c>
      <c r="H16" s="51" t="s">
        <v>656</v>
      </c>
      <c r="I16" s="40"/>
      <c r="J16" s="51" t="s">
        <v>657</v>
      </c>
      <c r="K16" s="40"/>
    </row>
    <row r="17" spans="1:11" ht="79.5" customHeight="1" x14ac:dyDescent="0.3">
      <c r="A17" s="39"/>
      <c r="B17" s="39" t="s">
        <v>705</v>
      </c>
      <c r="C17" s="71" t="s">
        <v>706</v>
      </c>
      <c r="D17" s="40"/>
      <c r="E17" s="40"/>
      <c r="F17" s="40"/>
      <c r="G17" s="51" t="s">
        <v>655</v>
      </c>
      <c r="H17" s="51" t="s">
        <v>656</v>
      </c>
      <c r="I17" s="40" t="s">
        <v>713</v>
      </c>
      <c r="J17" s="53" t="s">
        <v>714</v>
      </c>
      <c r="K17" s="40"/>
    </row>
    <row r="18" spans="1:11" ht="79.5" customHeight="1" x14ac:dyDescent="0.3">
      <c r="A18" s="39" t="s">
        <v>185</v>
      </c>
      <c r="B18" s="39" t="s">
        <v>635</v>
      </c>
      <c r="C18" s="31" t="s">
        <v>652</v>
      </c>
      <c r="D18" s="40"/>
      <c r="E18" s="40"/>
      <c r="F18" s="40"/>
      <c r="G18" s="51" t="s">
        <v>625</v>
      </c>
      <c r="H18" s="51" t="s">
        <v>592</v>
      </c>
      <c r="I18" s="40"/>
      <c r="J18" s="53" t="s">
        <v>598</v>
      </c>
      <c r="K18" s="40"/>
    </row>
    <row r="19" spans="1:11" ht="79.5" customHeight="1" x14ac:dyDescent="0.3">
      <c r="A19" s="39"/>
      <c r="B19" s="39" t="s">
        <v>651</v>
      </c>
      <c r="C19" s="71">
        <v>46060</v>
      </c>
      <c r="D19" s="40"/>
      <c r="E19" s="40"/>
      <c r="F19" s="40"/>
      <c r="G19" s="51" t="s">
        <v>655</v>
      </c>
      <c r="H19" s="51" t="s">
        <v>668</v>
      </c>
      <c r="I19" s="40"/>
      <c r="J19" s="51" t="s">
        <v>674</v>
      </c>
      <c r="K19" s="40"/>
    </row>
    <row r="20" spans="1:11" ht="79.5" customHeight="1" x14ac:dyDescent="0.3">
      <c r="A20" s="39"/>
      <c r="B20" s="39" t="s">
        <v>705</v>
      </c>
      <c r="C20" s="71" t="s">
        <v>706</v>
      </c>
      <c r="D20" s="40"/>
      <c r="E20" s="40"/>
      <c r="F20" s="40"/>
      <c r="G20" s="51" t="s">
        <v>655</v>
      </c>
      <c r="H20" s="51" t="s">
        <v>668</v>
      </c>
      <c r="I20" s="40" t="s">
        <v>713</v>
      </c>
      <c r="J20" s="53" t="s">
        <v>715</v>
      </c>
      <c r="K20" s="40"/>
    </row>
    <row r="21" spans="1:11" ht="79.5" customHeight="1" x14ac:dyDescent="0.3">
      <c r="A21" s="39" t="s">
        <v>194</v>
      </c>
      <c r="B21" s="39" t="s">
        <v>635</v>
      </c>
      <c r="C21" s="31" t="s">
        <v>652</v>
      </c>
      <c r="D21" s="40"/>
      <c r="E21" s="40"/>
      <c r="F21" s="40"/>
      <c r="G21" s="51" t="s">
        <v>596</v>
      </c>
      <c r="H21" s="51" t="s">
        <v>592</v>
      </c>
      <c r="I21" s="40"/>
      <c r="J21" s="51" t="s">
        <v>600</v>
      </c>
      <c r="K21" s="40"/>
    </row>
    <row r="22" spans="1:11" ht="79.5" customHeight="1" x14ac:dyDescent="0.3">
      <c r="A22" s="39"/>
      <c r="B22" s="39" t="s">
        <v>651</v>
      </c>
      <c r="C22" s="71">
        <v>46060</v>
      </c>
      <c r="D22" s="40"/>
      <c r="E22" s="40"/>
      <c r="F22" s="40"/>
      <c r="G22" s="51" t="s">
        <v>578</v>
      </c>
      <c r="H22" s="51" t="s">
        <v>701</v>
      </c>
      <c r="I22" s="40"/>
      <c r="J22" s="51" t="s">
        <v>702</v>
      </c>
      <c r="K22" s="40"/>
    </row>
    <row r="23" spans="1:11" ht="79.5" customHeight="1" x14ac:dyDescent="0.3">
      <c r="A23" s="39"/>
      <c r="B23" s="39" t="s">
        <v>705</v>
      </c>
      <c r="C23" s="71" t="s">
        <v>706</v>
      </c>
      <c r="D23" s="40"/>
      <c r="E23" s="40"/>
      <c r="F23" s="40"/>
      <c r="G23" s="51" t="s">
        <v>603</v>
      </c>
      <c r="H23" s="51" t="s">
        <v>701</v>
      </c>
      <c r="I23" s="40"/>
      <c r="J23" s="51" t="s">
        <v>716</v>
      </c>
      <c r="K23" s="40"/>
    </row>
    <row r="24" spans="1:11" ht="79.5" customHeight="1" x14ac:dyDescent="0.3">
      <c r="A24" s="39" t="s">
        <v>204</v>
      </c>
      <c r="B24" s="39" t="s">
        <v>635</v>
      </c>
      <c r="C24" s="31" t="s">
        <v>652</v>
      </c>
      <c r="D24" s="40"/>
      <c r="E24" s="40"/>
      <c r="F24" s="40"/>
      <c r="G24" s="51" t="s">
        <v>625</v>
      </c>
      <c r="H24" s="51" t="s">
        <v>585</v>
      </c>
      <c r="I24" s="40"/>
      <c r="J24" s="51" t="s">
        <v>599</v>
      </c>
      <c r="K24" s="40"/>
    </row>
    <row r="25" spans="1:11" ht="79.5" customHeight="1" x14ac:dyDescent="0.3">
      <c r="A25" s="39"/>
      <c r="B25" s="39" t="s">
        <v>651</v>
      </c>
      <c r="C25" s="71">
        <v>46060</v>
      </c>
      <c r="D25" s="40"/>
      <c r="E25" s="40"/>
      <c r="F25" s="40"/>
      <c r="G25" s="51" t="s">
        <v>655</v>
      </c>
      <c r="H25" s="51" t="s">
        <v>656</v>
      </c>
      <c r="I25" s="40"/>
      <c r="J25" s="51" t="s">
        <v>687</v>
      </c>
      <c r="K25" s="40"/>
    </row>
    <row r="26" spans="1:11" ht="79.5" customHeight="1" x14ac:dyDescent="0.3">
      <c r="A26" s="39"/>
      <c r="B26" s="39" t="s">
        <v>678</v>
      </c>
      <c r="C26" s="71">
        <v>46060</v>
      </c>
      <c r="D26" s="40"/>
      <c r="E26" s="40"/>
      <c r="F26" s="40"/>
      <c r="G26" s="51" t="s">
        <v>655</v>
      </c>
      <c r="H26" s="51" t="s">
        <v>668</v>
      </c>
      <c r="I26" s="40"/>
      <c r="J26" s="51" t="s">
        <v>689</v>
      </c>
      <c r="K26" s="40"/>
    </row>
    <row r="27" spans="1:11" ht="79.5" customHeight="1" x14ac:dyDescent="0.3">
      <c r="A27" s="39"/>
      <c r="B27" s="39" t="s">
        <v>705</v>
      </c>
      <c r="C27" s="71" t="s">
        <v>717</v>
      </c>
      <c r="D27" s="40"/>
      <c r="E27" s="40"/>
      <c r="F27" s="40"/>
      <c r="G27" s="51" t="s">
        <v>655</v>
      </c>
      <c r="H27" s="51" t="s">
        <v>656</v>
      </c>
      <c r="I27" s="51" t="s">
        <v>713</v>
      </c>
      <c r="J27" s="51" t="s">
        <v>728</v>
      </c>
      <c r="K27" s="40"/>
    </row>
    <row r="28" spans="1:11" ht="79.5" customHeight="1" x14ac:dyDescent="0.3">
      <c r="A28" s="39" t="s">
        <v>213</v>
      </c>
      <c r="B28" s="39" t="s">
        <v>635</v>
      </c>
      <c r="C28" s="31" t="s">
        <v>652</v>
      </c>
      <c r="D28" s="40"/>
      <c r="E28" s="40"/>
      <c r="F28" s="40"/>
      <c r="G28" s="51" t="s">
        <v>626</v>
      </c>
      <c r="H28" s="51" t="s">
        <v>585</v>
      </c>
      <c r="I28" s="40"/>
      <c r="J28" s="51" t="s">
        <v>599</v>
      </c>
      <c r="K28" s="40"/>
    </row>
    <row r="29" spans="1:11" ht="79.5" customHeight="1" x14ac:dyDescent="0.3">
      <c r="A29" s="39"/>
      <c r="B29" s="39" t="s">
        <v>651</v>
      </c>
      <c r="C29" s="71">
        <v>46060</v>
      </c>
      <c r="D29" s="40"/>
      <c r="E29" s="40"/>
      <c r="F29" s="40"/>
      <c r="G29" s="51" t="s">
        <v>688</v>
      </c>
      <c r="H29" s="51" t="s">
        <v>656</v>
      </c>
      <c r="I29" s="40"/>
      <c r="J29" s="51" t="s">
        <v>687</v>
      </c>
      <c r="K29" s="40"/>
    </row>
    <row r="30" spans="1:11" ht="79.5" customHeight="1" x14ac:dyDescent="0.3">
      <c r="A30" s="39"/>
      <c r="B30" s="39" t="s">
        <v>678</v>
      </c>
      <c r="C30" s="71">
        <v>46060</v>
      </c>
      <c r="D30" s="40"/>
      <c r="E30" s="40"/>
      <c r="F30" s="40"/>
      <c r="G30" s="51" t="s">
        <v>688</v>
      </c>
      <c r="H30" s="51" t="s">
        <v>668</v>
      </c>
      <c r="I30" s="40"/>
      <c r="J30" s="51" t="s">
        <v>689</v>
      </c>
      <c r="K30" s="40"/>
    </row>
    <row r="31" spans="1:11" ht="79.5" customHeight="1" x14ac:dyDescent="0.3">
      <c r="A31" s="39"/>
      <c r="B31" s="39" t="s">
        <v>705</v>
      </c>
      <c r="C31" s="71" t="s">
        <v>717</v>
      </c>
      <c r="D31" s="40"/>
      <c r="E31" s="40"/>
      <c r="F31" s="40"/>
      <c r="G31" s="51" t="s">
        <v>688</v>
      </c>
      <c r="H31" s="51" t="s">
        <v>656</v>
      </c>
      <c r="I31" s="51" t="s">
        <v>719</v>
      </c>
      <c r="J31" s="51" t="s">
        <v>718</v>
      </c>
      <c r="K31" s="40"/>
    </row>
    <row r="32" spans="1:11" ht="79.5" customHeight="1" x14ac:dyDescent="0.3">
      <c r="A32" s="39" t="s">
        <v>222</v>
      </c>
      <c r="B32" s="39" t="s">
        <v>635</v>
      </c>
      <c r="C32" s="31" t="s">
        <v>652</v>
      </c>
      <c r="D32" s="40"/>
      <c r="E32" s="40"/>
      <c r="F32" s="40"/>
      <c r="G32" s="51" t="s">
        <v>623</v>
      </c>
      <c r="H32" s="51" t="s">
        <v>585</v>
      </c>
      <c r="I32" s="40"/>
      <c r="J32" s="51" t="s">
        <v>601</v>
      </c>
      <c r="K32" s="40"/>
    </row>
    <row r="33" spans="1:11" ht="79.5" customHeight="1" x14ac:dyDescent="0.3">
      <c r="A33" s="39"/>
      <c r="B33" s="39" t="s">
        <v>651</v>
      </c>
      <c r="C33" s="71">
        <v>46060</v>
      </c>
      <c r="D33" s="40"/>
      <c r="E33" s="40"/>
      <c r="F33" s="40"/>
      <c r="G33" s="51" t="s">
        <v>667</v>
      </c>
      <c r="H33" s="51" t="s">
        <v>656</v>
      </c>
      <c r="I33" s="40"/>
      <c r="J33" s="51" t="s">
        <v>676</v>
      </c>
      <c r="K33" s="40"/>
    </row>
    <row r="34" spans="1:11" ht="79.5" customHeight="1" x14ac:dyDescent="0.3">
      <c r="A34" s="39"/>
      <c r="B34" s="39" t="s">
        <v>678</v>
      </c>
      <c r="C34" s="71">
        <v>46060</v>
      </c>
      <c r="D34" s="40"/>
      <c r="E34" s="40"/>
      <c r="F34" s="40"/>
      <c r="G34" s="51" t="s">
        <v>667</v>
      </c>
      <c r="H34" s="51" t="s">
        <v>668</v>
      </c>
      <c r="I34" s="40"/>
      <c r="J34" s="51" t="s">
        <v>675</v>
      </c>
      <c r="K34" s="40"/>
    </row>
    <row r="35" spans="1:11" ht="79.5" customHeight="1" x14ac:dyDescent="0.3">
      <c r="A35" s="39"/>
      <c r="B35" s="39" t="s">
        <v>705</v>
      </c>
      <c r="C35" s="71" t="s">
        <v>717</v>
      </c>
      <c r="D35" s="40"/>
      <c r="E35" s="40"/>
      <c r="F35" s="40"/>
      <c r="G35" s="51" t="s">
        <v>667</v>
      </c>
      <c r="H35" s="51" t="s">
        <v>656</v>
      </c>
      <c r="I35" s="51" t="s">
        <v>720</v>
      </c>
      <c r="J35" s="51" t="s">
        <v>733</v>
      </c>
      <c r="K35" s="40"/>
    </row>
    <row r="36" spans="1:11" ht="79.5" customHeight="1" x14ac:dyDescent="0.3">
      <c r="A36" s="39" t="s">
        <v>232</v>
      </c>
      <c r="B36" s="39" t="s">
        <v>635</v>
      </c>
      <c r="C36" s="31" t="s">
        <v>652</v>
      </c>
      <c r="D36" s="40"/>
      <c r="E36" s="40"/>
      <c r="F36" s="40"/>
      <c r="G36" s="51" t="s">
        <v>627</v>
      </c>
      <c r="H36" s="51" t="s">
        <v>592</v>
      </c>
      <c r="I36" s="40"/>
      <c r="J36" s="51" t="s">
        <v>602</v>
      </c>
      <c r="K36" s="40"/>
    </row>
    <row r="37" spans="1:11" ht="79.5" customHeight="1" x14ac:dyDescent="0.3">
      <c r="A37" s="39"/>
      <c r="B37" s="39" t="s">
        <v>651</v>
      </c>
      <c r="C37" s="71">
        <v>46060</v>
      </c>
      <c r="D37" s="40"/>
      <c r="E37" s="40"/>
      <c r="F37" s="40"/>
      <c r="G37" s="51" t="s">
        <v>667</v>
      </c>
      <c r="H37" s="51" t="s">
        <v>668</v>
      </c>
      <c r="I37" s="40"/>
      <c r="J37" s="51" t="s">
        <v>690</v>
      </c>
      <c r="K37" s="40"/>
    </row>
    <row r="38" spans="1:11" ht="79.5" customHeight="1" x14ac:dyDescent="0.3">
      <c r="A38" s="39"/>
      <c r="B38" s="39" t="s">
        <v>705</v>
      </c>
      <c r="C38" s="71" t="s">
        <v>717</v>
      </c>
      <c r="D38" s="40"/>
      <c r="E38" s="40"/>
      <c r="F38" s="40"/>
      <c r="G38" s="51" t="s">
        <v>667</v>
      </c>
      <c r="H38" s="51" t="s">
        <v>668</v>
      </c>
      <c r="I38" s="51" t="s">
        <v>720</v>
      </c>
      <c r="J38" s="51" t="s">
        <v>732</v>
      </c>
      <c r="K38" s="40"/>
    </row>
    <row r="39" spans="1:11" ht="79.5" customHeight="1" x14ac:dyDescent="0.3">
      <c r="A39" s="39" t="s">
        <v>238</v>
      </c>
      <c r="B39" s="39" t="s">
        <v>635</v>
      </c>
      <c r="C39" s="31" t="s">
        <v>652</v>
      </c>
      <c r="D39" s="40"/>
      <c r="E39" s="40"/>
      <c r="F39" s="40"/>
      <c r="G39" s="51" t="s">
        <v>628</v>
      </c>
      <c r="H39" s="51" t="s">
        <v>585</v>
      </c>
      <c r="I39" s="40"/>
      <c r="J39" s="51" t="s">
        <v>659</v>
      </c>
      <c r="K39" s="40"/>
    </row>
    <row r="40" spans="1:11" ht="79.5" customHeight="1" x14ac:dyDescent="0.3">
      <c r="A40" s="39"/>
      <c r="B40" s="39" t="s">
        <v>651</v>
      </c>
      <c r="C40" s="71">
        <v>46060</v>
      </c>
      <c r="D40" s="40"/>
      <c r="E40" s="40"/>
      <c r="F40" s="40"/>
      <c r="G40" s="51" t="s">
        <v>658</v>
      </c>
      <c r="H40" s="51" t="s">
        <v>668</v>
      </c>
      <c r="I40" s="40"/>
      <c r="J40" s="51" t="s">
        <v>683</v>
      </c>
      <c r="K40" s="40"/>
    </row>
    <row r="41" spans="1:11" ht="79.5" customHeight="1" x14ac:dyDescent="0.3">
      <c r="A41" s="39"/>
      <c r="B41" s="39" t="s">
        <v>705</v>
      </c>
      <c r="C41" s="71" t="s">
        <v>717</v>
      </c>
      <c r="D41" s="40"/>
      <c r="E41" s="40"/>
      <c r="F41" s="40"/>
      <c r="G41" s="51" t="s">
        <v>658</v>
      </c>
      <c r="H41" s="51" t="s">
        <v>656</v>
      </c>
      <c r="I41" s="51" t="s">
        <v>722</v>
      </c>
      <c r="J41" s="51" t="s">
        <v>729</v>
      </c>
      <c r="K41" s="40"/>
    </row>
    <row r="42" spans="1:11" ht="79.5" customHeight="1" x14ac:dyDescent="0.3">
      <c r="A42" s="39" t="s">
        <v>246</v>
      </c>
      <c r="B42" s="39" t="s">
        <v>635</v>
      </c>
      <c r="C42" s="31" t="s">
        <v>652</v>
      </c>
      <c r="D42" s="40"/>
      <c r="E42" s="40"/>
      <c r="F42" s="40"/>
      <c r="G42" s="51" t="s">
        <v>578</v>
      </c>
      <c r="H42" s="51" t="s">
        <v>586</v>
      </c>
      <c r="I42" s="40"/>
      <c r="J42" s="51" t="s">
        <v>606</v>
      </c>
      <c r="K42" s="40"/>
    </row>
    <row r="43" spans="1:11" ht="79.5" customHeight="1" x14ac:dyDescent="0.3">
      <c r="A43" s="39"/>
      <c r="B43" s="39" t="s">
        <v>651</v>
      </c>
      <c r="C43" s="71">
        <v>46060</v>
      </c>
      <c r="D43" s="40"/>
      <c r="E43" s="40"/>
      <c r="F43" s="40"/>
      <c r="G43" s="51" t="s">
        <v>578</v>
      </c>
      <c r="H43" s="51" t="s">
        <v>656</v>
      </c>
      <c r="I43" s="40"/>
      <c r="J43" s="51" t="s">
        <v>676</v>
      </c>
      <c r="K43" s="40"/>
    </row>
    <row r="44" spans="1:11" ht="79.5" customHeight="1" x14ac:dyDescent="0.3">
      <c r="A44" s="39"/>
      <c r="B44" s="39" t="s">
        <v>678</v>
      </c>
      <c r="C44" s="71">
        <v>46060</v>
      </c>
      <c r="D44" s="40"/>
      <c r="E44" s="40"/>
      <c r="F44" s="40"/>
      <c r="G44" s="51" t="s">
        <v>578</v>
      </c>
      <c r="H44" s="51" t="s">
        <v>668</v>
      </c>
      <c r="I44" s="40"/>
      <c r="J44" s="51" t="s">
        <v>675</v>
      </c>
      <c r="K44" s="40"/>
    </row>
    <row r="45" spans="1:11" ht="79.5" customHeight="1" x14ac:dyDescent="0.3">
      <c r="A45" s="39"/>
      <c r="B45" s="39" t="s">
        <v>705</v>
      </c>
      <c r="C45" s="71" t="s">
        <v>717</v>
      </c>
      <c r="D45" s="40"/>
      <c r="E45" s="40"/>
      <c r="F45" s="40"/>
      <c r="G45" s="51" t="s">
        <v>578</v>
      </c>
      <c r="H45" s="51" t="s">
        <v>656</v>
      </c>
      <c r="I45" s="51" t="s">
        <v>723</v>
      </c>
      <c r="J45" s="51" t="s">
        <v>724</v>
      </c>
      <c r="K45" s="40"/>
    </row>
    <row r="46" spans="1:11" ht="79.5" customHeight="1" x14ac:dyDescent="0.3">
      <c r="A46" s="39" t="s">
        <v>256</v>
      </c>
      <c r="B46" s="39" t="s">
        <v>635</v>
      </c>
      <c r="C46" s="31" t="s">
        <v>652</v>
      </c>
      <c r="D46" s="40"/>
      <c r="E46" s="40"/>
      <c r="F46" s="40"/>
      <c r="G46" s="51" t="s">
        <v>603</v>
      </c>
      <c r="H46" s="51" t="s">
        <v>586</v>
      </c>
      <c r="I46" s="40"/>
      <c r="J46" s="51" t="s">
        <v>606</v>
      </c>
      <c r="K46" s="40"/>
    </row>
    <row r="47" spans="1:11" ht="79.5" customHeight="1" x14ac:dyDescent="0.3">
      <c r="A47" s="39"/>
      <c r="B47" s="39" t="s">
        <v>651</v>
      </c>
      <c r="C47" s="71">
        <v>46060</v>
      </c>
      <c r="D47" s="40"/>
      <c r="E47" s="40"/>
      <c r="F47" s="40"/>
      <c r="G47" s="51" t="s">
        <v>578</v>
      </c>
      <c r="H47" s="51" t="s">
        <v>677</v>
      </c>
      <c r="I47" s="40"/>
      <c r="J47" s="51" t="s">
        <v>676</v>
      </c>
      <c r="K47" s="40"/>
    </row>
    <row r="48" spans="1:11" ht="79.5" customHeight="1" x14ac:dyDescent="0.3">
      <c r="A48" s="39"/>
      <c r="B48" s="39" t="s">
        <v>678</v>
      </c>
      <c r="C48" s="71">
        <v>46060</v>
      </c>
      <c r="D48" s="40"/>
      <c r="E48" s="40"/>
      <c r="F48" s="40"/>
      <c r="G48" s="51" t="s">
        <v>578</v>
      </c>
      <c r="H48" s="51" t="s">
        <v>669</v>
      </c>
      <c r="I48" s="40"/>
      <c r="J48" s="51" t="s">
        <v>675</v>
      </c>
      <c r="K48" s="40"/>
    </row>
    <row r="49" spans="1:11" ht="79.5" customHeight="1" x14ac:dyDescent="0.3">
      <c r="A49" s="39"/>
      <c r="B49" s="39" t="s">
        <v>705</v>
      </c>
      <c r="C49" s="71" t="s">
        <v>717</v>
      </c>
      <c r="D49" s="40"/>
      <c r="E49" s="40"/>
      <c r="F49" s="40"/>
      <c r="G49" s="51" t="s">
        <v>578</v>
      </c>
      <c r="H49" s="51" t="s">
        <v>656</v>
      </c>
      <c r="I49" s="51" t="s">
        <v>723</v>
      </c>
      <c r="J49" s="51" t="s">
        <v>726</v>
      </c>
      <c r="K49" s="40"/>
    </row>
    <row r="50" spans="1:11" ht="79.5" customHeight="1" x14ac:dyDescent="0.3">
      <c r="A50" s="39" t="s">
        <v>264</v>
      </c>
      <c r="B50" s="39" t="s">
        <v>635</v>
      </c>
      <c r="C50" s="31" t="s">
        <v>652</v>
      </c>
      <c r="D50" s="40"/>
      <c r="E50" s="40"/>
      <c r="F50" s="40"/>
      <c r="G50" s="51" t="s">
        <v>623</v>
      </c>
      <c r="H50" s="51" t="s">
        <v>585</v>
      </c>
      <c r="I50" s="40"/>
      <c r="J50" s="51" t="s">
        <v>606</v>
      </c>
      <c r="K50" s="40"/>
    </row>
    <row r="51" spans="1:11" ht="79.5" customHeight="1" x14ac:dyDescent="0.3">
      <c r="A51" s="39"/>
      <c r="B51" s="39" t="s">
        <v>651</v>
      </c>
      <c r="C51" s="71">
        <v>46060</v>
      </c>
      <c r="D51" s="40"/>
      <c r="E51" s="40"/>
      <c r="F51" s="40"/>
      <c r="G51" s="51" t="s">
        <v>667</v>
      </c>
      <c r="H51" s="51" t="s">
        <v>668</v>
      </c>
      <c r="I51" s="40"/>
      <c r="J51" s="51" t="s">
        <v>680</v>
      </c>
      <c r="K51" s="40"/>
    </row>
    <row r="52" spans="1:11" ht="79.5" customHeight="1" x14ac:dyDescent="0.3">
      <c r="A52" s="39"/>
      <c r="B52" s="39" t="s">
        <v>705</v>
      </c>
      <c r="C52" s="71" t="s">
        <v>717</v>
      </c>
      <c r="D52" s="40"/>
      <c r="E52" s="40"/>
      <c r="F52" s="40"/>
      <c r="G52" s="51" t="s">
        <v>667</v>
      </c>
      <c r="H52" s="51" t="s">
        <v>668</v>
      </c>
      <c r="I52" s="51" t="s">
        <v>720</v>
      </c>
      <c r="J52" s="51" t="s">
        <v>727</v>
      </c>
      <c r="K52" s="40"/>
    </row>
    <row r="53" spans="1:11" ht="79.5" customHeight="1" x14ac:dyDescent="0.3">
      <c r="A53" s="39" t="s">
        <v>271</v>
      </c>
      <c r="B53" s="39" t="s">
        <v>635</v>
      </c>
      <c r="C53" s="31" t="s">
        <v>652</v>
      </c>
      <c r="D53" s="40"/>
      <c r="E53" s="40"/>
      <c r="F53" s="40"/>
      <c r="G53" s="51" t="s">
        <v>622</v>
      </c>
      <c r="H53" s="51" t="s">
        <v>592</v>
      </c>
      <c r="I53" s="40"/>
      <c r="J53" s="51" t="s">
        <v>604</v>
      </c>
      <c r="K53" s="40"/>
    </row>
    <row r="54" spans="1:11" ht="79.5" customHeight="1" x14ac:dyDescent="0.3">
      <c r="A54" s="39"/>
      <c r="B54" s="39" t="s">
        <v>651</v>
      </c>
      <c r="C54" s="71">
        <v>46210</v>
      </c>
      <c r="D54" s="40"/>
      <c r="E54" s="40"/>
      <c r="F54" s="40"/>
      <c r="G54" s="51" t="s">
        <v>660</v>
      </c>
      <c r="H54" s="51" t="s">
        <v>699</v>
      </c>
      <c r="I54" s="40"/>
      <c r="J54" s="51" t="s">
        <v>700</v>
      </c>
      <c r="K54" s="40"/>
    </row>
    <row r="55" spans="1:11" ht="79.5" customHeight="1" x14ac:dyDescent="0.3">
      <c r="A55" s="39"/>
      <c r="B55" s="39" t="s">
        <v>705</v>
      </c>
      <c r="C55" s="71" t="s">
        <v>717</v>
      </c>
      <c r="D55" s="40"/>
      <c r="E55" s="40"/>
      <c r="F55" s="40"/>
      <c r="G55" s="51" t="s">
        <v>660</v>
      </c>
      <c r="H55" s="51" t="s">
        <v>699</v>
      </c>
      <c r="I55" s="51" t="s">
        <v>730</v>
      </c>
      <c r="J55" s="51" t="s">
        <v>731</v>
      </c>
      <c r="K55" s="40"/>
    </row>
    <row r="56" spans="1:11" ht="79.5" customHeight="1" x14ac:dyDescent="0.3">
      <c r="A56" s="39" t="s">
        <v>279</v>
      </c>
      <c r="B56" s="39" t="s">
        <v>635</v>
      </c>
      <c r="C56" s="31" t="s">
        <v>652</v>
      </c>
      <c r="D56" s="40"/>
      <c r="E56" s="40"/>
      <c r="F56" s="40"/>
      <c r="G56" s="51" t="s">
        <v>622</v>
      </c>
      <c r="H56" s="51" t="s">
        <v>592</v>
      </c>
      <c r="I56" s="40"/>
      <c r="J56" s="51" t="s">
        <v>605</v>
      </c>
      <c r="K56" s="40"/>
    </row>
    <row r="57" spans="1:11" ht="79.5" customHeight="1" x14ac:dyDescent="0.3">
      <c r="A57" s="39"/>
      <c r="B57" s="39" t="s">
        <v>651</v>
      </c>
      <c r="C57" s="71">
        <v>46060</v>
      </c>
      <c r="D57" s="40"/>
      <c r="E57" s="40"/>
      <c r="F57" s="40"/>
      <c r="G57" s="51" t="s">
        <v>660</v>
      </c>
      <c r="H57" s="51" t="s">
        <v>668</v>
      </c>
      <c r="I57" s="40"/>
      <c r="J57" s="51" t="s">
        <v>680</v>
      </c>
      <c r="K57" s="40"/>
    </row>
    <row r="58" spans="1:11" ht="79.5" customHeight="1" x14ac:dyDescent="0.3">
      <c r="A58" s="39"/>
      <c r="B58" s="39" t="s">
        <v>705</v>
      </c>
      <c r="C58" s="71" t="s">
        <v>734</v>
      </c>
      <c r="D58" s="40"/>
      <c r="E58" s="40"/>
      <c r="F58" s="40"/>
      <c r="G58" s="51" t="s">
        <v>660</v>
      </c>
      <c r="H58" s="51" t="s">
        <v>668</v>
      </c>
      <c r="I58" s="40" t="s">
        <v>735</v>
      </c>
      <c r="J58" s="51"/>
      <c r="K58" s="40"/>
    </row>
    <row r="59" spans="1:11" ht="79.5" customHeight="1" x14ac:dyDescent="0.3">
      <c r="A59" s="39" t="s">
        <v>287</v>
      </c>
      <c r="B59" s="39" t="s">
        <v>635</v>
      </c>
      <c r="C59" s="31" t="s">
        <v>652</v>
      </c>
      <c r="D59" s="40"/>
      <c r="E59" s="40"/>
      <c r="F59" s="40"/>
      <c r="G59" s="40" t="s">
        <v>629</v>
      </c>
      <c r="H59" s="40" t="s">
        <v>586</v>
      </c>
      <c r="I59" s="40"/>
      <c r="J59" s="51" t="s">
        <v>608</v>
      </c>
      <c r="K59" s="40"/>
    </row>
    <row r="60" spans="1:11" ht="79.5" customHeight="1" x14ac:dyDescent="0.3">
      <c r="A60" s="39"/>
      <c r="B60" s="39" t="s">
        <v>651</v>
      </c>
      <c r="C60" s="71">
        <v>46060</v>
      </c>
      <c r="D60" s="40"/>
      <c r="E60" s="40"/>
      <c r="F60" s="40"/>
      <c r="G60" s="40" t="s">
        <v>681</v>
      </c>
      <c r="H60" s="40" t="s">
        <v>668</v>
      </c>
      <c r="I60" s="40"/>
      <c r="J60" s="51" t="s">
        <v>679</v>
      </c>
      <c r="K60" s="40"/>
    </row>
    <row r="61" spans="1:11" ht="79.5" customHeight="1" x14ac:dyDescent="0.3">
      <c r="A61" s="39"/>
      <c r="B61" s="39" t="s">
        <v>705</v>
      </c>
      <c r="C61" s="71" t="s">
        <v>734</v>
      </c>
      <c r="D61" s="40"/>
      <c r="E61" s="40"/>
      <c r="F61" s="40"/>
      <c r="G61" s="40" t="s">
        <v>681</v>
      </c>
      <c r="H61" s="40" t="s">
        <v>668</v>
      </c>
      <c r="I61" s="40" t="s">
        <v>736</v>
      </c>
      <c r="J61" s="51" t="s">
        <v>737</v>
      </c>
      <c r="K61" s="40"/>
    </row>
    <row r="62" spans="1:11" ht="79.5" customHeight="1" x14ac:dyDescent="0.3">
      <c r="A62" s="39" t="s">
        <v>296</v>
      </c>
      <c r="B62" s="39" t="s">
        <v>635</v>
      </c>
      <c r="C62" s="31" t="s">
        <v>652</v>
      </c>
      <c r="D62" s="40"/>
      <c r="E62" s="40"/>
      <c r="F62" s="40"/>
      <c r="G62" s="40" t="s">
        <v>630</v>
      </c>
      <c r="H62" s="51" t="s">
        <v>585</v>
      </c>
      <c r="I62" s="40"/>
      <c r="J62" s="51" t="s">
        <v>607</v>
      </c>
      <c r="K62" s="40"/>
    </row>
    <row r="63" spans="1:11" ht="79.5" customHeight="1" x14ac:dyDescent="0.3">
      <c r="A63" s="39"/>
      <c r="B63" s="39" t="s">
        <v>651</v>
      </c>
      <c r="C63" s="71">
        <v>46060</v>
      </c>
      <c r="D63" s="40"/>
      <c r="E63" s="40"/>
      <c r="F63" s="40"/>
      <c r="G63" s="40" t="s">
        <v>682</v>
      </c>
      <c r="H63" s="51" t="s">
        <v>668</v>
      </c>
      <c r="I63" s="40"/>
      <c r="J63" s="51" t="s">
        <v>679</v>
      </c>
      <c r="K63" s="40"/>
    </row>
    <row r="64" spans="1:11" ht="79.5" customHeight="1" x14ac:dyDescent="0.3">
      <c r="A64" s="39"/>
      <c r="B64" s="39" t="s">
        <v>705</v>
      </c>
      <c r="C64" s="71" t="s">
        <v>734</v>
      </c>
      <c r="D64" s="40"/>
      <c r="E64" s="40"/>
      <c r="F64" s="40"/>
      <c r="G64" s="40" t="s">
        <v>682</v>
      </c>
      <c r="H64" s="51" t="s">
        <v>668</v>
      </c>
      <c r="I64" s="40" t="s">
        <v>738</v>
      </c>
      <c r="J64" s="51" t="s">
        <v>737</v>
      </c>
      <c r="K64" s="40"/>
    </row>
    <row r="65" spans="1:11" ht="79.5" customHeight="1" x14ac:dyDescent="0.3">
      <c r="A65" s="39" t="s">
        <v>305</v>
      </c>
      <c r="B65" s="39" t="s">
        <v>635</v>
      </c>
      <c r="C65" s="31" t="s">
        <v>652</v>
      </c>
      <c r="D65" s="40"/>
      <c r="E65" s="40"/>
      <c r="F65" s="40"/>
      <c r="G65" s="40" t="s">
        <v>623</v>
      </c>
      <c r="H65" s="51" t="s">
        <v>592</v>
      </c>
      <c r="I65" s="40"/>
      <c r="J65" s="51" t="s">
        <v>609</v>
      </c>
      <c r="K65" s="40"/>
    </row>
    <row r="66" spans="1:11" ht="79.5" customHeight="1" x14ac:dyDescent="0.3">
      <c r="A66" s="39"/>
      <c r="B66" s="39" t="s">
        <v>651</v>
      </c>
      <c r="C66" s="71">
        <v>46060</v>
      </c>
      <c r="D66" s="40"/>
      <c r="E66" s="40"/>
      <c r="F66" s="40"/>
      <c r="G66" s="40" t="s">
        <v>667</v>
      </c>
      <c r="H66" s="51" t="s">
        <v>668</v>
      </c>
      <c r="I66" s="40"/>
      <c r="J66" s="51" t="s">
        <v>679</v>
      </c>
      <c r="K66" s="40"/>
    </row>
    <row r="67" spans="1:11" ht="79.5" customHeight="1" x14ac:dyDescent="0.3">
      <c r="A67" s="39"/>
      <c r="B67" s="39" t="s">
        <v>705</v>
      </c>
      <c r="C67" s="71" t="s">
        <v>734</v>
      </c>
      <c r="D67" s="40"/>
      <c r="E67" s="40"/>
      <c r="F67" s="40"/>
      <c r="G67" s="40" t="s">
        <v>667</v>
      </c>
      <c r="H67" s="51" t="s">
        <v>668</v>
      </c>
      <c r="I67" s="40" t="s">
        <v>739</v>
      </c>
      <c r="J67" s="51" t="s">
        <v>740</v>
      </c>
      <c r="K67" s="40"/>
    </row>
    <row r="68" spans="1:11" ht="79.5" customHeight="1" x14ac:dyDescent="0.3">
      <c r="A68" s="39" t="s">
        <v>313</v>
      </c>
      <c r="B68" s="39" t="s">
        <v>635</v>
      </c>
      <c r="C68" s="31" t="s">
        <v>652</v>
      </c>
      <c r="D68" s="40"/>
      <c r="E68" s="40"/>
      <c r="F68" s="40"/>
      <c r="G68" s="51" t="s">
        <v>623</v>
      </c>
      <c r="H68" s="51" t="s">
        <v>585</v>
      </c>
      <c r="I68" s="40"/>
      <c r="J68" s="51" t="s">
        <v>606</v>
      </c>
      <c r="K68" s="40"/>
    </row>
    <row r="69" spans="1:11" ht="79.5" customHeight="1" x14ac:dyDescent="0.3">
      <c r="A69" s="39"/>
      <c r="B69" s="39" t="s">
        <v>651</v>
      </c>
      <c r="C69" s="71">
        <v>46060</v>
      </c>
      <c r="D69" s="40"/>
      <c r="E69" s="40"/>
      <c r="F69" s="40"/>
      <c r="G69" s="51" t="s">
        <v>667</v>
      </c>
      <c r="H69" s="51" t="s">
        <v>656</v>
      </c>
      <c r="I69" s="40"/>
      <c r="J69" s="51" t="s">
        <v>676</v>
      </c>
      <c r="K69" s="40"/>
    </row>
    <row r="70" spans="1:11" ht="79.5" customHeight="1" x14ac:dyDescent="0.3">
      <c r="A70" s="39"/>
      <c r="B70" s="39" t="s">
        <v>678</v>
      </c>
      <c r="C70" s="71">
        <v>46060</v>
      </c>
      <c r="D70" s="40"/>
      <c r="E70" s="40"/>
      <c r="F70" s="40"/>
      <c r="G70" s="51" t="s">
        <v>667</v>
      </c>
      <c r="H70" s="51" t="s">
        <v>668</v>
      </c>
      <c r="I70" s="40"/>
      <c r="J70" s="51" t="s">
        <v>675</v>
      </c>
      <c r="K70" s="40"/>
    </row>
    <row r="71" spans="1:11" ht="79.5" customHeight="1" x14ac:dyDescent="0.3">
      <c r="A71" s="39"/>
      <c r="B71" s="39" t="s">
        <v>705</v>
      </c>
      <c r="C71" s="71" t="s">
        <v>734</v>
      </c>
      <c r="D71" s="40"/>
      <c r="E71" s="40"/>
      <c r="F71" s="40"/>
      <c r="G71" s="51" t="s">
        <v>667</v>
      </c>
      <c r="H71" s="51" t="s">
        <v>656</v>
      </c>
      <c r="I71" s="40" t="s">
        <v>739</v>
      </c>
      <c r="J71" s="51" t="s">
        <v>725</v>
      </c>
      <c r="K71" s="40"/>
    </row>
    <row r="72" spans="1:11" ht="79.5" customHeight="1" x14ac:dyDescent="0.3">
      <c r="A72" s="39" t="s">
        <v>320</v>
      </c>
      <c r="B72" s="39" t="s">
        <v>635</v>
      </c>
      <c r="C72" s="31" t="s">
        <v>652</v>
      </c>
      <c r="D72" s="40"/>
      <c r="E72" s="40"/>
      <c r="F72" s="40"/>
      <c r="G72" s="51" t="s">
        <v>603</v>
      </c>
      <c r="H72" s="51" t="s">
        <v>610</v>
      </c>
      <c r="I72" s="40"/>
      <c r="J72" s="51" t="s">
        <v>611</v>
      </c>
      <c r="K72" s="40"/>
    </row>
    <row r="73" spans="1:11" ht="79.5" customHeight="1" x14ac:dyDescent="0.3">
      <c r="A73" s="39"/>
      <c r="B73" s="39" t="s">
        <v>651</v>
      </c>
      <c r="C73" s="71">
        <v>46060</v>
      </c>
      <c r="D73" s="40"/>
      <c r="E73" s="40"/>
      <c r="F73" s="40"/>
      <c r="G73" s="51" t="s">
        <v>741</v>
      </c>
      <c r="H73" s="51" t="s">
        <v>656</v>
      </c>
      <c r="I73" s="40"/>
      <c r="J73" s="51" t="s">
        <v>676</v>
      </c>
      <c r="K73" s="40"/>
    </row>
    <row r="74" spans="1:11" ht="79.5" customHeight="1" x14ac:dyDescent="0.3">
      <c r="A74" s="39"/>
      <c r="B74" s="39" t="s">
        <v>678</v>
      </c>
      <c r="C74" s="71">
        <v>46060</v>
      </c>
      <c r="D74" s="40"/>
      <c r="E74" s="40"/>
      <c r="F74" s="40"/>
      <c r="G74" s="51" t="s">
        <v>578</v>
      </c>
      <c r="H74" s="51" t="s">
        <v>668</v>
      </c>
      <c r="I74" s="40"/>
      <c r="J74" s="51" t="s">
        <v>675</v>
      </c>
      <c r="K74" s="40"/>
    </row>
    <row r="75" spans="1:11" ht="79.5" customHeight="1" x14ac:dyDescent="0.3">
      <c r="A75" s="39"/>
      <c r="B75" s="39" t="s">
        <v>705</v>
      </c>
      <c r="C75" s="71" t="s">
        <v>734</v>
      </c>
      <c r="D75" s="40"/>
      <c r="E75" s="40"/>
      <c r="F75" s="40"/>
      <c r="G75" s="51" t="s">
        <v>578</v>
      </c>
      <c r="H75" s="51" t="s">
        <v>656</v>
      </c>
      <c r="I75" s="51" t="s">
        <v>742</v>
      </c>
      <c r="J75" s="51" t="s">
        <v>765</v>
      </c>
      <c r="K75" s="40"/>
    </row>
    <row r="76" spans="1:11" ht="79.5" customHeight="1" x14ac:dyDescent="0.3">
      <c r="A76" s="39" t="s">
        <v>331</v>
      </c>
      <c r="B76" s="39" t="s">
        <v>635</v>
      </c>
      <c r="C76" s="31" t="s">
        <v>652</v>
      </c>
      <c r="D76" s="40"/>
      <c r="E76" s="40"/>
      <c r="F76" s="40"/>
      <c r="G76" s="51" t="s">
        <v>603</v>
      </c>
      <c r="H76" s="40" t="s">
        <v>586</v>
      </c>
      <c r="I76" s="40"/>
      <c r="J76" s="51" t="s">
        <v>612</v>
      </c>
      <c r="K76" s="40"/>
    </row>
    <row r="77" spans="1:11" ht="79.5" customHeight="1" x14ac:dyDescent="0.3">
      <c r="A77" s="39"/>
      <c r="B77" s="39" t="s">
        <v>651</v>
      </c>
      <c r="C77" s="71">
        <v>46060</v>
      </c>
      <c r="D77" s="40"/>
      <c r="E77" s="40"/>
      <c r="F77" s="40"/>
      <c r="G77" s="51" t="s">
        <v>603</v>
      </c>
      <c r="H77" s="51" t="s">
        <v>656</v>
      </c>
      <c r="I77" s="40"/>
      <c r="J77" s="51" t="s">
        <v>676</v>
      </c>
      <c r="K77" s="40"/>
    </row>
    <row r="78" spans="1:11" ht="79.5" customHeight="1" x14ac:dyDescent="0.3">
      <c r="A78" s="39"/>
      <c r="B78" s="39" t="s">
        <v>678</v>
      </c>
      <c r="C78" s="71">
        <v>46060</v>
      </c>
      <c r="D78" s="40"/>
      <c r="E78" s="40"/>
      <c r="F78" s="40"/>
      <c r="G78" s="51" t="s">
        <v>603</v>
      </c>
      <c r="H78" s="51" t="s">
        <v>668</v>
      </c>
      <c r="I78" s="40"/>
      <c r="J78" s="51" t="s">
        <v>675</v>
      </c>
      <c r="K78" s="40"/>
    </row>
    <row r="79" spans="1:11" ht="79.5" customHeight="1" x14ac:dyDescent="0.3">
      <c r="A79" s="39"/>
      <c r="B79" s="39" t="s">
        <v>705</v>
      </c>
      <c r="C79" s="71" t="s">
        <v>743</v>
      </c>
      <c r="D79" s="40"/>
      <c r="E79" s="40"/>
      <c r="F79" s="40"/>
      <c r="G79" s="51" t="s">
        <v>578</v>
      </c>
      <c r="H79" s="51" t="s">
        <v>677</v>
      </c>
      <c r="I79" s="40" t="s">
        <v>744</v>
      </c>
      <c r="J79" s="51" t="s">
        <v>764</v>
      </c>
      <c r="K79" s="40"/>
    </row>
    <row r="80" spans="1:11" ht="79.5" customHeight="1" x14ac:dyDescent="0.3">
      <c r="A80" s="39" t="s">
        <v>341</v>
      </c>
      <c r="B80" s="39" t="s">
        <v>635</v>
      </c>
      <c r="C80" s="31" t="s">
        <v>652</v>
      </c>
      <c r="D80" s="40"/>
      <c r="E80" s="40"/>
      <c r="F80" s="40"/>
      <c r="G80" s="40" t="s">
        <v>631</v>
      </c>
      <c r="H80" s="40" t="s">
        <v>592</v>
      </c>
      <c r="I80" s="40"/>
      <c r="J80" s="51" t="s">
        <v>612</v>
      </c>
      <c r="K80" s="40"/>
    </row>
    <row r="81" spans="1:11" ht="79.5" customHeight="1" x14ac:dyDescent="0.3">
      <c r="A81" s="39"/>
      <c r="B81" s="39" t="s">
        <v>651</v>
      </c>
      <c r="C81" s="71">
        <v>46060</v>
      </c>
      <c r="D81" s="40"/>
      <c r="E81" s="40"/>
      <c r="F81" s="40"/>
      <c r="G81" s="40" t="s">
        <v>684</v>
      </c>
      <c r="H81" s="40" t="s">
        <v>668</v>
      </c>
      <c r="I81" s="40"/>
      <c r="J81" s="51" t="s">
        <v>679</v>
      </c>
      <c r="K81" s="40"/>
    </row>
    <row r="82" spans="1:11" ht="79.5" customHeight="1" x14ac:dyDescent="0.3">
      <c r="A82" s="39"/>
      <c r="B82" s="39" t="s">
        <v>705</v>
      </c>
      <c r="C82" s="71" t="s">
        <v>743</v>
      </c>
      <c r="D82" s="40"/>
      <c r="E82" s="40"/>
      <c r="F82" s="40"/>
      <c r="G82" s="40" t="s">
        <v>684</v>
      </c>
      <c r="H82" s="40" t="s">
        <v>668</v>
      </c>
      <c r="I82" s="40" t="s">
        <v>745</v>
      </c>
      <c r="J82" s="51" t="s">
        <v>746</v>
      </c>
      <c r="K82" s="40"/>
    </row>
    <row r="83" spans="1:11" ht="79.5" customHeight="1" x14ac:dyDescent="0.3">
      <c r="A83" s="39" t="s">
        <v>350</v>
      </c>
      <c r="B83" s="39" t="s">
        <v>635</v>
      </c>
      <c r="C83" s="31" t="s">
        <v>652</v>
      </c>
      <c r="D83" s="40"/>
      <c r="E83" s="40"/>
      <c r="F83" s="40"/>
      <c r="G83" s="40" t="s">
        <v>632</v>
      </c>
      <c r="H83" s="40" t="s">
        <v>592</v>
      </c>
      <c r="I83" s="40"/>
      <c r="J83" s="51" t="s">
        <v>613</v>
      </c>
      <c r="K83" s="40"/>
    </row>
    <row r="84" spans="1:11" ht="79.5" customHeight="1" x14ac:dyDescent="0.3">
      <c r="A84" s="39"/>
      <c r="B84" s="39" t="s">
        <v>651</v>
      </c>
      <c r="C84" s="71">
        <v>46060</v>
      </c>
      <c r="D84" s="40"/>
      <c r="E84" s="40"/>
      <c r="F84" s="40"/>
      <c r="G84" s="40" t="s">
        <v>685</v>
      </c>
      <c r="H84" s="40" t="s">
        <v>668</v>
      </c>
      <c r="I84" s="40"/>
      <c r="J84" s="51" t="s">
        <v>686</v>
      </c>
      <c r="K84" s="40"/>
    </row>
    <row r="85" spans="1:11" ht="79.5" customHeight="1" x14ac:dyDescent="0.3">
      <c r="A85" s="39"/>
      <c r="B85" s="39" t="s">
        <v>705</v>
      </c>
      <c r="C85" s="71" t="s">
        <v>743</v>
      </c>
      <c r="D85" s="40"/>
      <c r="E85" s="40"/>
      <c r="F85" s="40"/>
      <c r="G85" s="40" t="s">
        <v>685</v>
      </c>
      <c r="H85" s="40" t="s">
        <v>668</v>
      </c>
      <c r="I85" s="40" t="s">
        <v>747</v>
      </c>
      <c r="J85" s="51" t="s">
        <v>748</v>
      </c>
      <c r="K85" s="40"/>
    </row>
    <row r="86" spans="1:11" ht="79.5" customHeight="1" x14ac:dyDescent="0.3">
      <c r="A86" s="39" t="s">
        <v>359</v>
      </c>
      <c r="B86" s="39" t="s">
        <v>635</v>
      </c>
      <c r="C86" s="31" t="s">
        <v>652</v>
      </c>
      <c r="D86" s="40"/>
      <c r="E86" s="40"/>
      <c r="F86" s="40"/>
      <c r="G86" s="40" t="s">
        <v>603</v>
      </c>
      <c r="H86" s="40" t="s">
        <v>586</v>
      </c>
      <c r="I86" s="40"/>
      <c r="J86" s="51" t="s">
        <v>614</v>
      </c>
      <c r="K86" s="40"/>
    </row>
    <row r="87" spans="1:11" ht="79.5" customHeight="1" x14ac:dyDescent="0.3">
      <c r="A87" s="39" t="s">
        <v>369</v>
      </c>
      <c r="B87" s="39" t="s">
        <v>635</v>
      </c>
      <c r="C87" s="31" t="s">
        <v>652</v>
      </c>
      <c r="D87" s="40"/>
      <c r="E87" s="40"/>
      <c r="F87" s="40"/>
      <c r="G87" s="40" t="s">
        <v>623</v>
      </c>
      <c r="H87" s="51" t="s">
        <v>592</v>
      </c>
      <c r="I87" s="40"/>
      <c r="J87" s="51" t="s">
        <v>617</v>
      </c>
      <c r="K87" s="40"/>
    </row>
    <row r="88" spans="1:11" ht="79.5" customHeight="1" x14ac:dyDescent="0.3">
      <c r="A88" s="39"/>
      <c r="B88" s="39" t="s">
        <v>651</v>
      </c>
      <c r="C88" s="71">
        <v>46210</v>
      </c>
      <c r="D88" s="40"/>
      <c r="E88" s="40"/>
      <c r="F88" s="40"/>
      <c r="G88" s="40" t="s">
        <v>667</v>
      </c>
      <c r="H88" s="51" t="s">
        <v>699</v>
      </c>
      <c r="I88" s="40"/>
      <c r="J88" s="51" t="s">
        <v>704</v>
      </c>
      <c r="K88" s="40"/>
    </row>
    <row r="89" spans="1:11" ht="79.5" customHeight="1" x14ac:dyDescent="0.3">
      <c r="A89" s="39"/>
      <c r="B89" s="39" t="s">
        <v>705</v>
      </c>
      <c r="C89" s="71" t="s">
        <v>743</v>
      </c>
      <c r="D89" s="40"/>
      <c r="E89" s="40"/>
      <c r="F89" s="40"/>
      <c r="G89" s="40" t="s">
        <v>749</v>
      </c>
      <c r="H89" s="51" t="s">
        <v>656</v>
      </c>
      <c r="I89" s="40" t="s">
        <v>750</v>
      </c>
      <c r="J89" s="51" t="s">
        <v>751</v>
      </c>
      <c r="K89" s="40"/>
    </row>
    <row r="90" spans="1:11" ht="79.5" customHeight="1" x14ac:dyDescent="0.3">
      <c r="A90" s="39" t="s">
        <v>378</v>
      </c>
      <c r="B90" s="39" t="s">
        <v>635</v>
      </c>
      <c r="C90" s="31" t="s">
        <v>652</v>
      </c>
      <c r="D90" s="40"/>
      <c r="E90" s="40"/>
      <c r="F90" s="40"/>
      <c r="G90" s="40" t="s">
        <v>578</v>
      </c>
      <c r="H90" s="40" t="s">
        <v>583</v>
      </c>
      <c r="I90" s="40"/>
      <c r="J90" s="51" t="s">
        <v>584</v>
      </c>
      <c r="K90" s="40"/>
    </row>
    <row r="91" spans="1:11" ht="79.5" customHeight="1" x14ac:dyDescent="0.3">
      <c r="A91" s="39"/>
      <c r="B91" s="39" t="s">
        <v>651</v>
      </c>
      <c r="C91" s="71">
        <v>46060</v>
      </c>
      <c r="D91" s="40"/>
      <c r="E91" s="40"/>
      <c r="F91" s="40"/>
      <c r="G91" s="40" t="s">
        <v>578</v>
      </c>
      <c r="H91" s="40" t="s">
        <v>661</v>
      </c>
      <c r="I91" s="40"/>
      <c r="J91" s="51" t="s">
        <v>692</v>
      </c>
      <c r="K91" s="40"/>
    </row>
    <row r="92" spans="1:11" ht="79.5" customHeight="1" x14ac:dyDescent="0.3">
      <c r="A92" s="39"/>
      <c r="B92" s="39" t="s">
        <v>678</v>
      </c>
      <c r="C92" s="71">
        <v>46060</v>
      </c>
      <c r="D92" s="40"/>
      <c r="E92" s="40"/>
      <c r="F92" s="40"/>
      <c r="G92" s="40" t="s">
        <v>578</v>
      </c>
      <c r="H92" s="40" t="s">
        <v>691</v>
      </c>
      <c r="I92" s="40"/>
      <c r="J92" s="51" t="s">
        <v>693</v>
      </c>
      <c r="K92" s="40"/>
    </row>
    <row r="93" spans="1:11" ht="79.5" customHeight="1" x14ac:dyDescent="0.3">
      <c r="A93" s="39"/>
      <c r="B93" s="39" t="s">
        <v>705</v>
      </c>
      <c r="C93" s="71" t="s">
        <v>743</v>
      </c>
      <c r="D93" s="40"/>
      <c r="E93" s="40"/>
      <c r="F93" s="40"/>
      <c r="G93" s="40" t="s">
        <v>578</v>
      </c>
      <c r="H93" s="40" t="s">
        <v>752</v>
      </c>
      <c r="I93" s="40" t="s">
        <v>753</v>
      </c>
      <c r="J93" s="51" t="s">
        <v>763</v>
      </c>
      <c r="K93" s="40"/>
    </row>
    <row r="94" spans="1:11" ht="79.5" customHeight="1" x14ac:dyDescent="0.3">
      <c r="A94" s="39" t="s">
        <v>387</v>
      </c>
      <c r="B94" s="39" t="s">
        <v>635</v>
      </c>
      <c r="C94" s="31" t="s">
        <v>652</v>
      </c>
      <c r="D94" s="40"/>
      <c r="E94" s="40"/>
      <c r="F94" s="40"/>
      <c r="G94" s="40" t="s">
        <v>578</v>
      </c>
      <c r="H94" s="40" t="s">
        <v>585</v>
      </c>
      <c r="I94" s="40"/>
      <c r="J94" s="40"/>
      <c r="K94" s="40"/>
    </row>
    <row r="95" spans="1:11" ht="79.5" customHeight="1" x14ac:dyDescent="0.3">
      <c r="A95" s="39"/>
      <c r="B95" s="39" t="s">
        <v>651</v>
      </c>
      <c r="C95" s="71">
        <v>46060</v>
      </c>
      <c r="D95" s="40"/>
      <c r="E95" s="40"/>
      <c r="F95" s="40"/>
      <c r="G95" s="40" t="s">
        <v>578</v>
      </c>
      <c r="H95" s="40" t="s">
        <v>656</v>
      </c>
      <c r="I95" s="40"/>
      <c r="J95" s="40" t="s">
        <v>663</v>
      </c>
      <c r="K95" s="40"/>
    </row>
    <row r="96" spans="1:11" ht="79.5" customHeight="1" x14ac:dyDescent="0.3">
      <c r="A96" s="39"/>
      <c r="B96" s="39" t="s">
        <v>705</v>
      </c>
      <c r="C96" s="71" t="s">
        <v>743</v>
      </c>
      <c r="D96" s="40"/>
      <c r="E96" s="40"/>
      <c r="F96" s="40"/>
      <c r="G96" s="40" t="s">
        <v>578</v>
      </c>
      <c r="H96" s="40" t="s">
        <v>656</v>
      </c>
      <c r="I96" s="40" t="s">
        <v>754</v>
      </c>
      <c r="J96" s="51" t="s">
        <v>762</v>
      </c>
      <c r="K96" s="40"/>
    </row>
    <row r="97" spans="1:11" ht="79.5" customHeight="1" x14ac:dyDescent="0.3">
      <c r="A97" s="39" t="s">
        <v>397</v>
      </c>
      <c r="B97" s="39" t="s">
        <v>635</v>
      </c>
      <c r="C97" s="31" t="s">
        <v>652</v>
      </c>
      <c r="D97" s="40"/>
      <c r="E97" s="40"/>
      <c r="F97" s="40"/>
      <c r="G97" s="40" t="s">
        <v>578</v>
      </c>
      <c r="H97" s="40" t="s">
        <v>586</v>
      </c>
      <c r="I97" s="40"/>
      <c r="J97" s="51" t="s">
        <v>589</v>
      </c>
      <c r="K97" s="40"/>
    </row>
    <row r="98" spans="1:11" ht="79.5" customHeight="1" x14ac:dyDescent="0.3">
      <c r="A98" s="39"/>
      <c r="B98" s="39" t="s">
        <v>651</v>
      </c>
      <c r="C98" s="71">
        <v>46210</v>
      </c>
      <c r="D98" s="40"/>
      <c r="E98" s="40"/>
      <c r="F98" s="40"/>
      <c r="G98" s="40" t="s">
        <v>578</v>
      </c>
      <c r="H98" s="40" t="s">
        <v>656</v>
      </c>
      <c r="I98" s="40"/>
      <c r="J98" s="51" t="s">
        <v>703</v>
      </c>
      <c r="K98" s="40"/>
    </row>
    <row r="99" spans="1:11" ht="79.5" customHeight="1" x14ac:dyDescent="0.3">
      <c r="A99" s="39"/>
      <c r="B99" s="39" t="s">
        <v>705</v>
      </c>
      <c r="C99" s="71" t="s">
        <v>743</v>
      </c>
      <c r="D99" s="40"/>
      <c r="E99" s="40"/>
      <c r="F99" s="40"/>
      <c r="G99" s="51" t="s">
        <v>578</v>
      </c>
      <c r="H99" s="51" t="s">
        <v>656</v>
      </c>
      <c r="I99" s="51" t="s">
        <v>708</v>
      </c>
      <c r="J99" s="51" t="s">
        <v>761</v>
      </c>
      <c r="K99" s="40"/>
    </row>
    <row r="100" spans="1:11" ht="79.5" customHeight="1" x14ac:dyDescent="0.3">
      <c r="A100" s="39" t="s">
        <v>409</v>
      </c>
      <c r="B100" s="39" t="s">
        <v>635</v>
      </c>
      <c r="C100" s="31" t="s">
        <v>652</v>
      </c>
      <c r="D100" s="40"/>
      <c r="E100" s="40"/>
      <c r="F100" s="40"/>
      <c r="G100" s="51" t="s">
        <v>578</v>
      </c>
      <c r="H100" s="51" t="s">
        <v>618</v>
      </c>
      <c r="I100" s="40"/>
      <c r="J100" s="51" t="s">
        <v>619</v>
      </c>
      <c r="K100" s="40"/>
    </row>
    <row r="101" spans="1:11" ht="79.5" customHeight="1" x14ac:dyDescent="0.3">
      <c r="A101" s="39"/>
      <c r="B101" s="39" t="s">
        <v>651</v>
      </c>
      <c r="C101" s="71">
        <v>46060</v>
      </c>
      <c r="D101" s="40"/>
      <c r="E101" s="40"/>
      <c r="F101" s="40"/>
      <c r="G101" s="51" t="s">
        <v>578</v>
      </c>
      <c r="H101" s="51" t="s">
        <v>694</v>
      </c>
      <c r="I101" s="40"/>
      <c r="J101" s="51" t="s">
        <v>696</v>
      </c>
      <c r="K101" s="40"/>
    </row>
    <row r="102" spans="1:11" ht="79.5" customHeight="1" x14ac:dyDescent="0.3">
      <c r="A102" s="39"/>
      <c r="B102" s="39" t="s">
        <v>678</v>
      </c>
      <c r="C102" s="71">
        <v>46060</v>
      </c>
      <c r="D102" s="40"/>
      <c r="E102" s="40"/>
      <c r="F102" s="40"/>
      <c r="G102" s="51" t="s">
        <v>578</v>
      </c>
      <c r="H102" s="51" t="s">
        <v>695</v>
      </c>
      <c r="I102" s="40"/>
      <c r="J102" s="51" t="s">
        <v>697</v>
      </c>
      <c r="K102" s="40"/>
    </row>
    <row r="103" spans="1:11" ht="79.5" customHeight="1" x14ac:dyDescent="0.3">
      <c r="A103" s="39"/>
      <c r="B103" s="39" t="s">
        <v>705</v>
      </c>
      <c r="C103" s="71" t="s">
        <v>743</v>
      </c>
      <c r="D103" s="40"/>
      <c r="E103" s="40"/>
      <c r="F103" s="40"/>
      <c r="G103" s="51" t="s">
        <v>578</v>
      </c>
      <c r="H103" s="51" t="s">
        <v>695</v>
      </c>
      <c r="I103" s="51" t="s">
        <v>755</v>
      </c>
      <c r="J103" s="51" t="s">
        <v>760</v>
      </c>
      <c r="K103" s="40"/>
    </row>
    <row r="104" spans="1:11" ht="79.5" customHeight="1" x14ac:dyDescent="0.3">
      <c r="A104" s="39" t="s">
        <v>417</v>
      </c>
      <c r="B104" s="39" t="s">
        <v>635</v>
      </c>
      <c r="C104" s="31" t="s">
        <v>652</v>
      </c>
      <c r="D104" s="40"/>
      <c r="E104" s="40"/>
      <c r="F104" s="40"/>
      <c r="G104" s="51" t="s">
        <v>578</v>
      </c>
      <c r="H104" s="51" t="s">
        <v>618</v>
      </c>
      <c r="I104" s="40"/>
      <c r="J104" s="57" t="s">
        <v>620</v>
      </c>
      <c r="K104" s="40"/>
    </row>
    <row r="105" spans="1:11" ht="79.5" customHeight="1" x14ac:dyDescent="0.3">
      <c r="A105" s="39"/>
      <c r="B105" s="39" t="s">
        <v>651</v>
      </c>
      <c r="C105" s="71">
        <v>46060</v>
      </c>
      <c r="D105" s="40"/>
      <c r="E105" s="40"/>
      <c r="F105" s="40"/>
      <c r="G105" s="51" t="s">
        <v>578</v>
      </c>
      <c r="H105" s="51" t="s">
        <v>694</v>
      </c>
      <c r="I105" s="40"/>
      <c r="J105" s="51" t="s">
        <v>696</v>
      </c>
      <c r="K105" s="40"/>
    </row>
    <row r="106" spans="1:11" ht="79.5" customHeight="1" x14ac:dyDescent="0.3">
      <c r="A106" s="39"/>
      <c r="B106" s="39" t="s">
        <v>678</v>
      </c>
      <c r="C106" s="71">
        <v>46060</v>
      </c>
      <c r="D106" s="40"/>
      <c r="E106" s="40"/>
      <c r="F106" s="40"/>
      <c r="G106" s="51" t="s">
        <v>578</v>
      </c>
      <c r="H106" s="51" t="s">
        <v>695</v>
      </c>
      <c r="I106" s="40"/>
      <c r="J106" s="51" t="s">
        <v>697</v>
      </c>
      <c r="K106" s="40"/>
    </row>
    <row r="107" spans="1:11" ht="79.5" customHeight="1" x14ac:dyDescent="0.3">
      <c r="A107" s="39"/>
      <c r="B107" s="39" t="s">
        <v>705</v>
      </c>
      <c r="C107" s="71" t="s">
        <v>743</v>
      </c>
      <c r="D107" s="40"/>
      <c r="E107" s="40"/>
      <c r="F107" s="40"/>
      <c r="G107" s="51" t="s">
        <v>578</v>
      </c>
      <c r="H107" s="51" t="s">
        <v>695</v>
      </c>
      <c r="I107" s="51" t="s">
        <v>755</v>
      </c>
      <c r="J107" s="51" t="s">
        <v>759</v>
      </c>
      <c r="K107" s="40"/>
    </row>
    <row r="108" spans="1:11" ht="79.5" customHeight="1" x14ac:dyDescent="0.3">
      <c r="A108" s="39" t="s">
        <v>426</v>
      </c>
      <c r="B108" s="39" t="s">
        <v>635</v>
      </c>
      <c r="C108" s="31" t="s">
        <v>652</v>
      </c>
      <c r="D108" s="40"/>
      <c r="E108" s="40"/>
      <c r="F108" s="40"/>
      <c r="G108" s="51" t="s">
        <v>633</v>
      </c>
      <c r="H108" s="51" t="s">
        <v>592</v>
      </c>
      <c r="I108" s="40"/>
      <c r="J108" s="51" t="s">
        <v>621</v>
      </c>
      <c r="K108" s="40"/>
    </row>
    <row r="109" spans="1:11" ht="79.5" customHeight="1" x14ac:dyDescent="0.3">
      <c r="A109" s="39"/>
      <c r="B109" s="39" t="s">
        <v>651</v>
      </c>
      <c r="C109" s="71">
        <v>46060</v>
      </c>
      <c r="D109" s="40"/>
      <c r="E109" s="40"/>
      <c r="F109" s="40"/>
      <c r="G109" s="51" t="s">
        <v>664</v>
      </c>
      <c r="H109" s="51" t="s">
        <v>656</v>
      </c>
      <c r="I109" s="40"/>
      <c r="J109" s="51" t="s">
        <v>665</v>
      </c>
      <c r="K109" s="40"/>
    </row>
    <row r="110" spans="1:11" ht="79.5" customHeight="1" x14ac:dyDescent="0.3">
      <c r="A110" s="39"/>
      <c r="B110" s="39" t="s">
        <v>705</v>
      </c>
      <c r="C110" s="71" t="s">
        <v>743</v>
      </c>
      <c r="D110" s="40"/>
      <c r="E110" s="40"/>
      <c r="F110" s="40"/>
      <c r="G110" s="51" t="s">
        <v>664</v>
      </c>
      <c r="H110" s="51" t="s">
        <v>656</v>
      </c>
      <c r="I110" s="51" t="s">
        <v>756</v>
      </c>
      <c r="J110" s="51"/>
      <c r="K110" s="40"/>
    </row>
    <row r="111" spans="1:11" ht="79.5" customHeight="1" x14ac:dyDescent="0.3">
      <c r="A111" s="39" t="s">
        <v>436</v>
      </c>
      <c r="B111" s="39" t="s">
        <v>635</v>
      </c>
      <c r="C111" s="31" t="s">
        <v>652</v>
      </c>
      <c r="D111" s="40"/>
      <c r="E111" s="40"/>
      <c r="F111" s="40"/>
      <c r="G111" s="51" t="s">
        <v>587</v>
      </c>
      <c r="H111" s="51" t="s">
        <v>585</v>
      </c>
      <c r="I111" s="40"/>
      <c r="J111" s="51" t="s">
        <v>588</v>
      </c>
      <c r="K111" s="40"/>
    </row>
    <row r="112" spans="1:11" ht="79.5" customHeight="1" x14ac:dyDescent="0.3">
      <c r="A112" s="39"/>
      <c r="B112" s="39" t="s">
        <v>651</v>
      </c>
      <c r="C112" s="71">
        <v>46060</v>
      </c>
      <c r="D112" s="40"/>
      <c r="E112" s="40"/>
      <c r="F112" s="40"/>
      <c r="G112" s="51" t="s">
        <v>667</v>
      </c>
      <c r="H112" s="51" t="s">
        <v>656</v>
      </c>
      <c r="I112" s="40"/>
      <c r="J112" s="51" t="s">
        <v>666</v>
      </c>
      <c r="K112" s="40"/>
    </row>
    <row r="113" spans="1:11" ht="79.5" customHeight="1" x14ac:dyDescent="0.3">
      <c r="A113" s="39"/>
      <c r="B113" s="39" t="s">
        <v>705</v>
      </c>
      <c r="C113" s="71" t="s">
        <v>743</v>
      </c>
      <c r="D113" s="40"/>
      <c r="E113" s="40"/>
      <c r="F113" s="40"/>
      <c r="G113" s="51" t="s">
        <v>667</v>
      </c>
      <c r="H113" s="51" t="s">
        <v>656</v>
      </c>
      <c r="I113" s="40" t="s">
        <v>757</v>
      </c>
      <c r="J113" s="51" t="s">
        <v>666</v>
      </c>
      <c r="K113" s="40"/>
    </row>
    <row r="114" spans="1:11" ht="79.5" customHeight="1" x14ac:dyDescent="0.3">
      <c r="A114" s="39" t="s">
        <v>445</v>
      </c>
      <c r="B114" s="39" t="s">
        <v>635</v>
      </c>
      <c r="C114" s="31" t="s">
        <v>652</v>
      </c>
      <c r="D114" s="40"/>
      <c r="E114" s="40"/>
      <c r="F114" s="40"/>
      <c r="G114" s="40" t="s">
        <v>622</v>
      </c>
      <c r="H114" s="40" t="s">
        <v>579</v>
      </c>
      <c r="I114" s="40"/>
      <c r="J114" s="51" t="s">
        <v>616</v>
      </c>
      <c r="K114" s="40"/>
    </row>
    <row r="115" spans="1:11" ht="79.5" customHeight="1" x14ac:dyDescent="0.3">
      <c r="A115" s="39"/>
      <c r="B115" s="39" t="s">
        <v>651</v>
      </c>
      <c r="C115" s="71">
        <v>46060</v>
      </c>
      <c r="D115" s="40"/>
      <c r="E115" s="40"/>
      <c r="F115" s="40"/>
      <c r="G115" s="40" t="s">
        <v>660</v>
      </c>
      <c r="H115" s="40" t="s">
        <v>661</v>
      </c>
      <c r="I115" s="40"/>
      <c r="J115" s="51" t="s">
        <v>662</v>
      </c>
      <c r="K115" s="40"/>
    </row>
    <row r="116" spans="1:11" ht="79.5" customHeight="1" x14ac:dyDescent="0.3">
      <c r="A116" s="39"/>
      <c r="B116" s="39" t="s">
        <v>705</v>
      </c>
      <c r="C116" s="71" t="s">
        <v>743</v>
      </c>
      <c r="D116" s="40"/>
      <c r="E116" s="40"/>
      <c r="F116" s="40"/>
      <c r="G116" s="51" t="s">
        <v>660</v>
      </c>
      <c r="H116" s="51" t="s">
        <v>661</v>
      </c>
      <c r="I116" s="51" t="s">
        <v>758</v>
      </c>
      <c r="J116" s="51" t="s">
        <v>766</v>
      </c>
      <c r="K116" s="40"/>
    </row>
    <row r="117" spans="1:11" ht="79.5" customHeight="1" x14ac:dyDescent="0.3">
      <c r="A117" s="39" t="s">
        <v>454</v>
      </c>
      <c r="B117" s="39" t="s">
        <v>635</v>
      </c>
      <c r="C117" s="31" t="s">
        <v>652</v>
      </c>
      <c r="D117" s="40"/>
      <c r="E117" s="40"/>
      <c r="F117" s="40"/>
      <c r="G117" s="51" t="s">
        <v>623</v>
      </c>
      <c r="H117" s="51" t="s">
        <v>618</v>
      </c>
      <c r="I117" s="40"/>
      <c r="J117" s="57" t="s">
        <v>620</v>
      </c>
      <c r="K117" s="40"/>
    </row>
    <row r="118" spans="1:11" ht="79.5" customHeight="1" x14ac:dyDescent="0.3">
      <c r="A118" s="39"/>
      <c r="B118" s="39" t="s">
        <v>651</v>
      </c>
      <c r="C118" s="71">
        <v>46060</v>
      </c>
      <c r="D118" s="40"/>
      <c r="E118" s="40"/>
      <c r="F118" s="40"/>
      <c r="G118" s="40" t="s">
        <v>667</v>
      </c>
      <c r="H118" s="40" t="s">
        <v>698</v>
      </c>
      <c r="I118" s="40"/>
      <c r="J118" s="40"/>
      <c r="K118" s="40"/>
    </row>
    <row r="119" spans="1:11" ht="79.5" customHeight="1" x14ac:dyDescent="0.3">
      <c r="A119" s="39"/>
      <c r="B119" s="39" t="s">
        <v>705</v>
      </c>
      <c r="C119" s="71" t="s">
        <v>743</v>
      </c>
      <c r="D119" s="40"/>
      <c r="E119" s="40"/>
      <c r="F119" s="40"/>
      <c r="G119" s="40" t="s">
        <v>667</v>
      </c>
      <c r="H119" s="40" t="s">
        <v>698</v>
      </c>
      <c r="I119" s="40" t="s">
        <v>767</v>
      </c>
      <c r="J119" s="51" t="s">
        <v>768</v>
      </c>
      <c r="K119" s="40"/>
    </row>
    <row r="120" spans="1:11" ht="79.5" customHeight="1" x14ac:dyDescent="0.3">
      <c r="A120" s="39"/>
      <c r="B120" s="40"/>
      <c r="C120" s="40"/>
      <c r="D120" s="40"/>
      <c r="E120" s="40"/>
      <c r="F120" s="40"/>
      <c r="G120" s="40"/>
      <c r="H120" s="40"/>
      <c r="I120" s="40"/>
      <c r="J120" s="40"/>
      <c r="K120" s="40"/>
    </row>
    <row r="121" spans="1:11" ht="79.5" customHeight="1" x14ac:dyDescent="0.3">
      <c r="A121" s="39"/>
      <c r="B121" s="40"/>
      <c r="C121" s="40"/>
      <c r="D121" s="40"/>
      <c r="E121" s="40"/>
      <c r="F121" s="40"/>
      <c r="G121" s="40"/>
      <c r="H121" s="40"/>
      <c r="I121" s="40"/>
      <c r="J121" s="40"/>
      <c r="K121" s="40"/>
    </row>
    <row r="122" spans="1:11" ht="79.5" customHeight="1" x14ac:dyDescent="0.3">
      <c r="A122" s="39"/>
      <c r="B122" s="40"/>
      <c r="C122" s="40"/>
      <c r="D122" s="40"/>
      <c r="E122" s="40"/>
      <c r="F122" s="40"/>
      <c r="G122" s="40"/>
      <c r="H122" s="40"/>
      <c r="I122" s="40"/>
      <c r="J122" s="40"/>
      <c r="K122" s="40"/>
    </row>
    <row r="123" spans="1:11" ht="79.5" customHeight="1" x14ac:dyDescent="0.3">
      <c r="A123" s="39"/>
      <c r="B123" s="40"/>
      <c r="C123" s="40"/>
      <c r="D123" s="40"/>
      <c r="E123" s="40"/>
      <c r="F123" s="40"/>
      <c r="G123" s="40"/>
      <c r="H123" s="40"/>
      <c r="I123" s="40"/>
      <c r="J123" s="40"/>
      <c r="K123" s="40"/>
    </row>
    <row r="124" spans="1:11" ht="79.5" customHeight="1" x14ac:dyDescent="0.3">
      <c r="A124" s="39"/>
      <c r="B124" s="40"/>
      <c r="C124" s="40"/>
      <c r="D124" s="40"/>
      <c r="E124" s="40"/>
      <c r="F124" s="40"/>
      <c r="G124" s="40"/>
      <c r="H124" s="40"/>
      <c r="I124" s="40"/>
      <c r="J124" s="40"/>
      <c r="K124" s="40"/>
    </row>
    <row r="125" spans="1:11" ht="79.5" customHeight="1" x14ac:dyDescent="0.3">
      <c r="A125" s="39"/>
      <c r="B125" s="40"/>
      <c r="C125" s="40"/>
      <c r="D125" s="40"/>
      <c r="E125" s="40"/>
      <c r="F125" s="40"/>
      <c r="G125" s="40"/>
      <c r="H125" s="40"/>
      <c r="I125" s="40"/>
      <c r="J125" s="40"/>
      <c r="K125" s="40"/>
    </row>
    <row r="126" spans="1:11" ht="79.5" customHeight="1" x14ac:dyDescent="0.3">
      <c r="A126" s="39"/>
      <c r="B126" s="40"/>
      <c r="C126" s="40"/>
      <c r="D126" s="40"/>
      <c r="E126" s="40"/>
      <c r="F126" s="40"/>
      <c r="G126" s="40"/>
      <c r="H126" s="40"/>
      <c r="I126" s="40"/>
      <c r="J126" s="40"/>
      <c r="K126" s="40"/>
    </row>
    <row r="127" spans="1:11" ht="79.5" customHeight="1" x14ac:dyDescent="0.3">
      <c r="A127" s="39"/>
      <c r="B127" s="40"/>
      <c r="C127" s="40"/>
      <c r="D127" s="40"/>
      <c r="E127" s="40"/>
      <c r="F127" s="40"/>
      <c r="G127" s="40"/>
      <c r="H127" s="40"/>
      <c r="I127" s="40"/>
      <c r="J127" s="40"/>
      <c r="K127" s="40"/>
    </row>
    <row r="128" spans="1:11" ht="79.5" customHeight="1" x14ac:dyDescent="0.3">
      <c r="A128" s="39"/>
      <c r="B128" s="40"/>
      <c r="C128" s="40"/>
      <c r="D128" s="40"/>
      <c r="E128" s="40"/>
      <c r="F128" s="40"/>
      <c r="G128" s="40"/>
      <c r="H128" s="40"/>
      <c r="I128" s="40"/>
      <c r="J128" s="40"/>
      <c r="K128" s="40"/>
    </row>
    <row r="129" spans="1:11" ht="79.5" customHeight="1" x14ac:dyDescent="0.3">
      <c r="A129" s="39"/>
      <c r="B129" s="40"/>
      <c r="C129" s="40"/>
      <c r="D129" s="40"/>
      <c r="E129" s="40"/>
      <c r="F129" s="40"/>
      <c r="G129" s="40"/>
      <c r="H129" s="40"/>
      <c r="I129" s="40"/>
      <c r="J129" s="40"/>
      <c r="K129" s="40"/>
    </row>
    <row r="130" spans="1:11" ht="79.5" customHeight="1" x14ac:dyDescent="0.3">
      <c r="A130" s="39"/>
      <c r="B130" s="40"/>
      <c r="C130" s="40"/>
      <c r="D130" s="40"/>
      <c r="E130" s="40"/>
      <c r="F130" s="40"/>
      <c r="G130" s="40"/>
      <c r="H130" s="40"/>
      <c r="I130" s="40"/>
      <c r="J130" s="40"/>
      <c r="K130" s="40"/>
    </row>
    <row r="131" spans="1:11" ht="79.5" customHeight="1" x14ac:dyDescent="0.3">
      <c r="A131" s="39"/>
      <c r="B131" s="40"/>
      <c r="C131" s="40"/>
      <c r="D131" s="40"/>
      <c r="E131" s="40"/>
      <c r="F131" s="40"/>
      <c r="G131" s="40"/>
      <c r="H131" s="40"/>
      <c r="I131" s="40"/>
      <c r="J131" s="40"/>
      <c r="K131" s="40"/>
    </row>
    <row r="132" spans="1:11" ht="79.5" customHeight="1" x14ac:dyDescent="0.3">
      <c r="A132" s="39"/>
      <c r="B132" s="40"/>
      <c r="C132" s="40"/>
      <c r="D132" s="40"/>
      <c r="E132" s="40"/>
      <c r="F132" s="40"/>
      <c r="G132" s="40"/>
      <c r="H132" s="40"/>
      <c r="I132" s="40"/>
      <c r="J132" s="40"/>
      <c r="K132" s="40"/>
    </row>
    <row r="133" spans="1:11" ht="79.5" customHeight="1" x14ac:dyDescent="0.3">
      <c r="A133" s="39"/>
      <c r="B133" s="40"/>
      <c r="C133" s="40"/>
      <c r="D133" s="40"/>
      <c r="E133" s="40"/>
      <c r="F133" s="40"/>
      <c r="G133" s="40"/>
      <c r="H133" s="40"/>
      <c r="I133" s="40"/>
      <c r="J133" s="40"/>
      <c r="K133" s="40"/>
    </row>
    <row r="134" spans="1:11" ht="79.5" customHeight="1" x14ac:dyDescent="0.3">
      <c r="A134" s="39"/>
      <c r="B134" s="40"/>
      <c r="C134" s="40"/>
      <c r="D134" s="40"/>
      <c r="E134" s="40"/>
      <c r="F134" s="40"/>
      <c r="G134" s="40"/>
      <c r="H134" s="40"/>
      <c r="I134" s="40"/>
      <c r="J134" s="40"/>
      <c r="K134" s="40"/>
    </row>
    <row r="135" spans="1:11" ht="79.5" customHeight="1" x14ac:dyDescent="0.3">
      <c r="A135" s="39"/>
      <c r="B135" s="40"/>
      <c r="C135" s="40"/>
      <c r="D135" s="40"/>
      <c r="E135" s="40"/>
      <c r="F135" s="40"/>
      <c r="G135" s="40"/>
      <c r="H135" s="40"/>
      <c r="I135" s="40"/>
      <c r="J135" s="40"/>
      <c r="K135" s="40"/>
    </row>
    <row r="136" spans="1:11" ht="79.5" customHeight="1" x14ac:dyDescent="0.3">
      <c r="A136" s="39"/>
      <c r="B136" s="40"/>
      <c r="C136" s="40"/>
      <c r="D136" s="40"/>
      <c r="E136" s="40"/>
      <c r="F136" s="40"/>
      <c r="G136" s="40"/>
      <c r="H136" s="40"/>
      <c r="I136" s="40"/>
      <c r="J136" s="40"/>
      <c r="K136" s="40"/>
    </row>
    <row r="137" spans="1:11" ht="79.5" customHeight="1" x14ac:dyDescent="0.3">
      <c r="A137" s="39"/>
      <c r="B137" s="40"/>
      <c r="C137" s="40"/>
      <c r="D137" s="40"/>
      <c r="E137" s="40"/>
      <c r="F137" s="40"/>
      <c r="G137" s="40"/>
      <c r="H137" s="40"/>
      <c r="I137" s="40"/>
      <c r="J137" s="40"/>
      <c r="K137" s="40"/>
    </row>
    <row r="138" spans="1:11" ht="79.5" customHeight="1" x14ac:dyDescent="0.3">
      <c r="A138" s="39"/>
      <c r="B138" s="40"/>
      <c r="C138" s="40"/>
      <c r="D138" s="40"/>
      <c r="E138" s="40"/>
      <c r="F138" s="40"/>
      <c r="G138" s="40"/>
      <c r="H138" s="40"/>
      <c r="I138" s="40"/>
      <c r="J138" s="40"/>
      <c r="K138" s="40"/>
    </row>
    <row r="139" spans="1:11" ht="79.5" customHeight="1" x14ac:dyDescent="0.3">
      <c r="A139" s="39"/>
      <c r="B139" s="40"/>
      <c r="C139" s="40"/>
      <c r="D139" s="40"/>
      <c r="E139" s="40"/>
      <c r="F139" s="40"/>
      <c r="G139" s="40"/>
      <c r="H139" s="40"/>
      <c r="I139" s="40"/>
      <c r="J139" s="40"/>
      <c r="K139" s="40"/>
    </row>
    <row r="140" spans="1:11" ht="79.5" customHeight="1" x14ac:dyDescent="0.3">
      <c r="A140" s="39"/>
      <c r="B140" s="40"/>
      <c r="C140" s="40"/>
      <c r="D140" s="40"/>
      <c r="E140" s="40"/>
      <c r="F140" s="40"/>
      <c r="G140" s="40"/>
      <c r="H140" s="40"/>
      <c r="I140" s="40"/>
      <c r="J140" s="40"/>
      <c r="K140" s="40"/>
    </row>
    <row r="141" spans="1:11" ht="79.5" customHeight="1" x14ac:dyDescent="0.3">
      <c r="A141" s="39"/>
      <c r="B141" s="40"/>
      <c r="C141" s="40"/>
      <c r="D141" s="40"/>
      <c r="E141" s="40"/>
      <c r="F141" s="40"/>
      <c r="G141" s="40"/>
      <c r="H141" s="40"/>
      <c r="I141" s="40"/>
      <c r="J141" s="40"/>
      <c r="K141" s="40"/>
    </row>
    <row r="142" spans="1:11" ht="79.5" customHeight="1" x14ac:dyDescent="0.3">
      <c r="A142" s="39"/>
      <c r="B142" s="40"/>
      <c r="C142" s="40"/>
      <c r="D142" s="40"/>
      <c r="E142" s="40"/>
      <c r="F142" s="40"/>
      <c r="G142" s="40"/>
      <c r="H142" s="40"/>
      <c r="I142" s="40"/>
      <c r="J142" s="40"/>
      <c r="K142" s="40"/>
    </row>
    <row r="143" spans="1:11" ht="79.5" customHeight="1" x14ac:dyDescent="0.3">
      <c r="A143" s="39"/>
      <c r="B143" s="40"/>
      <c r="C143" s="40"/>
      <c r="D143" s="40"/>
      <c r="E143" s="40"/>
      <c r="F143" s="40"/>
      <c r="G143" s="40"/>
      <c r="H143" s="40"/>
      <c r="I143" s="40"/>
      <c r="J143" s="40"/>
      <c r="K143" s="40"/>
    </row>
    <row r="144" spans="1:11" ht="79.5" customHeight="1" x14ac:dyDescent="0.3">
      <c r="A144" s="39"/>
      <c r="B144" s="40"/>
      <c r="C144" s="40"/>
      <c r="D144" s="40"/>
      <c r="E144" s="40"/>
      <c r="F144" s="40"/>
      <c r="G144" s="40"/>
      <c r="H144" s="40"/>
      <c r="I144" s="40"/>
      <c r="J144" s="40"/>
      <c r="K144" s="40"/>
    </row>
    <row r="145" spans="1:11" ht="79.5" customHeight="1" x14ac:dyDescent="0.3">
      <c r="A145" s="39"/>
      <c r="B145" s="40"/>
      <c r="C145" s="40"/>
      <c r="D145" s="40"/>
      <c r="E145" s="40"/>
      <c r="F145" s="40"/>
      <c r="G145" s="40"/>
      <c r="H145" s="40"/>
      <c r="I145" s="40"/>
      <c r="J145" s="40"/>
      <c r="K145" s="40"/>
    </row>
    <row r="146" spans="1:11" ht="79.5" customHeight="1" x14ac:dyDescent="0.3">
      <c r="A146" s="39"/>
      <c r="B146" s="40"/>
      <c r="C146" s="40"/>
      <c r="D146" s="40"/>
      <c r="E146" s="40"/>
      <c r="F146" s="40"/>
      <c r="G146" s="40"/>
      <c r="H146" s="40"/>
      <c r="I146" s="40"/>
      <c r="J146" s="40"/>
      <c r="K146" s="40"/>
    </row>
    <row r="147" spans="1:11" ht="79.5" customHeight="1" x14ac:dyDescent="0.3">
      <c r="A147" s="39"/>
      <c r="B147" s="40"/>
      <c r="C147" s="40"/>
      <c r="D147" s="40"/>
      <c r="E147" s="40"/>
      <c r="F147" s="40"/>
      <c r="G147" s="40"/>
      <c r="H147" s="40"/>
      <c r="I147" s="40"/>
      <c r="J147" s="40"/>
      <c r="K147" s="40"/>
    </row>
    <row r="148" spans="1:11" ht="79.5" customHeight="1" x14ac:dyDescent="0.3">
      <c r="A148" s="39"/>
      <c r="B148" s="40"/>
      <c r="C148" s="40"/>
      <c r="D148" s="40"/>
      <c r="E148" s="40"/>
      <c r="F148" s="40"/>
      <c r="G148" s="40"/>
      <c r="H148" s="40"/>
      <c r="I148" s="40"/>
      <c r="J148" s="40"/>
      <c r="K148" s="40"/>
    </row>
    <row r="149" spans="1:11" ht="79.5" customHeight="1" x14ac:dyDescent="0.3">
      <c r="A149" s="39"/>
      <c r="B149" s="40"/>
      <c r="C149" s="40"/>
      <c r="D149" s="40"/>
      <c r="E149" s="40"/>
      <c r="F149" s="40"/>
      <c r="G149" s="40"/>
      <c r="H149" s="40"/>
      <c r="I149" s="40"/>
      <c r="J149" s="40"/>
      <c r="K149" s="40"/>
    </row>
    <row r="150" spans="1:11" ht="79.5" customHeight="1" x14ac:dyDescent="0.3">
      <c r="A150" s="39"/>
      <c r="B150" s="40"/>
      <c r="C150" s="40"/>
      <c r="D150" s="40"/>
      <c r="E150" s="40"/>
      <c r="F150" s="40"/>
      <c r="G150" s="40"/>
      <c r="H150" s="40"/>
      <c r="I150" s="40"/>
      <c r="J150" s="40"/>
      <c r="K150" s="40"/>
    </row>
    <row r="151" spans="1:11" ht="79.5" customHeight="1" x14ac:dyDescent="0.3">
      <c r="A151" s="39"/>
      <c r="B151" s="40"/>
      <c r="C151" s="40"/>
      <c r="D151" s="40"/>
      <c r="E151" s="40"/>
      <c r="F151" s="40"/>
      <c r="G151" s="40"/>
      <c r="H151" s="40"/>
      <c r="I151" s="40"/>
      <c r="J151" s="40"/>
      <c r="K151" s="40"/>
    </row>
    <row r="152" spans="1:11" ht="79.5" customHeight="1" x14ac:dyDescent="0.3">
      <c r="A152" s="39"/>
      <c r="B152" s="40"/>
      <c r="C152" s="40"/>
      <c r="D152" s="40"/>
      <c r="E152" s="40"/>
      <c r="F152" s="40"/>
      <c r="G152" s="40"/>
      <c r="H152" s="40"/>
      <c r="I152" s="40"/>
      <c r="J152" s="40"/>
      <c r="K152" s="40"/>
    </row>
    <row r="153" spans="1:11" ht="79.5" customHeight="1" x14ac:dyDescent="0.3">
      <c r="A153" s="39"/>
      <c r="B153" s="40"/>
      <c r="C153" s="40"/>
      <c r="D153" s="40"/>
      <c r="E153" s="40"/>
      <c r="F153" s="40"/>
      <c r="G153" s="40"/>
      <c r="H153" s="40"/>
      <c r="I153" s="40"/>
      <c r="J153" s="40"/>
      <c r="K153" s="40"/>
    </row>
    <row r="154" spans="1:11" ht="79.5" customHeight="1" x14ac:dyDescent="0.3">
      <c r="A154" s="39"/>
      <c r="B154" s="40"/>
      <c r="C154" s="40"/>
      <c r="D154" s="40"/>
      <c r="E154" s="40"/>
      <c r="F154" s="40"/>
      <c r="G154" s="40"/>
      <c r="H154" s="40"/>
      <c r="I154" s="40"/>
      <c r="J154" s="40"/>
      <c r="K154" s="40"/>
    </row>
    <row r="155" spans="1:11" ht="79.5" customHeight="1" x14ac:dyDescent="0.3">
      <c r="A155" s="39"/>
      <c r="B155" s="40"/>
      <c r="C155" s="40"/>
      <c r="D155" s="40"/>
      <c r="E155" s="40"/>
      <c r="F155" s="40"/>
      <c r="G155" s="40"/>
      <c r="H155" s="40"/>
      <c r="I155" s="40"/>
      <c r="J155" s="40"/>
      <c r="K155" s="40"/>
    </row>
    <row r="156" spans="1:11" ht="79.5" customHeight="1" x14ac:dyDescent="0.3">
      <c r="A156" s="39"/>
      <c r="B156" s="40"/>
      <c r="C156" s="40"/>
      <c r="D156" s="40"/>
      <c r="E156" s="40"/>
      <c r="F156" s="40"/>
      <c r="G156" s="40"/>
      <c r="H156" s="40"/>
      <c r="I156" s="40"/>
      <c r="J156" s="40"/>
      <c r="K156" s="40"/>
    </row>
    <row r="157" spans="1:11" ht="79.5" customHeight="1" x14ac:dyDescent="0.3">
      <c r="A157" s="39"/>
      <c r="B157" s="40"/>
      <c r="C157" s="40"/>
      <c r="D157" s="40"/>
      <c r="E157" s="40"/>
      <c r="F157" s="40"/>
      <c r="G157" s="40"/>
      <c r="H157" s="40"/>
      <c r="I157" s="40"/>
      <c r="J157" s="40"/>
      <c r="K157" s="40"/>
    </row>
    <row r="158" spans="1:11" ht="79.5" customHeight="1" x14ac:dyDescent="0.3">
      <c r="A158" s="39"/>
      <c r="B158" s="40"/>
      <c r="C158" s="40"/>
      <c r="D158" s="40"/>
      <c r="E158" s="40"/>
      <c r="F158" s="40"/>
      <c r="G158" s="40"/>
      <c r="H158" s="40"/>
      <c r="I158" s="40"/>
      <c r="J158" s="40"/>
      <c r="K158" s="40"/>
    </row>
    <row r="159" spans="1:11" ht="79.5" customHeight="1" x14ac:dyDescent="0.3">
      <c r="A159" s="39"/>
      <c r="B159" s="40"/>
      <c r="C159" s="40"/>
      <c r="D159" s="40"/>
      <c r="E159" s="40"/>
      <c r="F159" s="40"/>
      <c r="G159" s="40"/>
      <c r="H159" s="40"/>
      <c r="I159" s="40"/>
      <c r="J159" s="40"/>
      <c r="K159" s="40"/>
    </row>
    <row r="160" spans="1:11" ht="79.5" customHeight="1" x14ac:dyDescent="0.3">
      <c r="A160" s="39"/>
      <c r="B160" s="40"/>
      <c r="C160" s="40"/>
      <c r="D160" s="40"/>
      <c r="E160" s="40"/>
      <c r="F160" s="40"/>
      <c r="G160" s="40"/>
      <c r="H160" s="40"/>
      <c r="I160" s="40"/>
      <c r="J160" s="40"/>
      <c r="K160" s="40"/>
    </row>
    <row r="161" spans="1:11" ht="79.5" customHeight="1" x14ac:dyDescent="0.3">
      <c r="A161" s="39"/>
      <c r="B161" s="40"/>
      <c r="C161" s="40"/>
      <c r="D161" s="40"/>
      <c r="E161" s="40"/>
      <c r="F161" s="40"/>
      <c r="G161" s="40"/>
      <c r="H161" s="40"/>
      <c r="I161" s="40"/>
      <c r="J161" s="40"/>
      <c r="K161" s="40"/>
    </row>
    <row r="162" spans="1:11" ht="79.5" customHeight="1" x14ac:dyDescent="0.3">
      <c r="A162" s="39"/>
      <c r="B162" s="40"/>
      <c r="C162" s="40"/>
      <c r="D162" s="40"/>
      <c r="E162" s="40"/>
      <c r="F162" s="40"/>
      <c r="G162" s="40"/>
      <c r="H162" s="40"/>
      <c r="I162" s="40"/>
      <c r="J162" s="40"/>
      <c r="K162" s="40"/>
    </row>
    <row r="163" spans="1:11" ht="79.5" customHeight="1" x14ac:dyDescent="0.3">
      <c r="A163" s="39"/>
      <c r="B163" s="40"/>
      <c r="C163" s="40"/>
      <c r="D163" s="40"/>
      <c r="E163" s="40"/>
      <c r="F163" s="40"/>
      <c r="G163" s="40"/>
      <c r="H163" s="40"/>
      <c r="I163" s="40"/>
      <c r="J163" s="40"/>
      <c r="K163" s="40"/>
    </row>
    <row r="164" spans="1:11" ht="79.5" customHeight="1" x14ac:dyDescent="0.3">
      <c r="A164" s="39"/>
      <c r="B164" s="40"/>
      <c r="C164" s="40"/>
      <c r="D164" s="40"/>
      <c r="E164" s="40"/>
      <c r="F164" s="40"/>
      <c r="G164" s="40"/>
      <c r="H164" s="40"/>
      <c r="I164" s="40"/>
      <c r="J164" s="40"/>
      <c r="K164" s="40"/>
    </row>
    <row r="165" spans="1:11" ht="79.5" customHeight="1" x14ac:dyDescent="0.3">
      <c r="A165" s="39"/>
      <c r="B165" s="40"/>
      <c r="C165" s="40"/>
      <c r="D165" s="40"/>
      <c r="E165" s="40"/>
      <c r="F165" s="40"/>
      <c r="G165" s="40"/>
      <c r="H165" s="40"/>
      <c r="I165" s="40"/>
      <c r="J165" s="40"/>
      <c r="K165" s="40"/>
    </row>
    <row r="166" spans="1:11" ht="79.5" customHeight="1" x14ac:dyDescent="0.3">
      <c r="A166" s="39"/>
      <c r="B166" s="40"/>
      <c r="C166" s="40"/>
      <c r="D166" s="40"/>
      <c r="E166" s="40"/>
      <c r="F166" s="40"/>
      <c r="G166" s="40"/>
      <c r="H166" s="40"/>
      <c r="I166" s="40"/>
      <c r="J166" s="40"/>
      <c r="K166" s="40"/>
    </row>
    <row r="167" spans="1:11" ht="79.5" customHeight="1" x14ac:dyDescent="0.3">
      <c r="A167" s="39"/>
      <c r="B167" s="40"/>
      <c r="C167" s="40"/>
      <c r="D167" s="40"/>
      <c r="E167" s="40"/>
      <c r="F167" s="40"/>
      <c r="G167" s="40"/>
      <c r="H167" s="40"/>
      <c r="I167" s="40"/>
      <c r="J167" s="40"/>
      <c r="K167" s="40"/>
    </row>
    <row r="168" spans="1:11" ht="79.5" customHeight="1" x14ac:dyDescent="0.3">
      <c r="A168" s="39"/>
      <c r="B168" s="40"/>
      <c r="C168" s="40"/>
      <c r="D168" s="40"/>
      <c r="E168" s="40"/>
      <c r="F168" s="40"/>
      <c r="G168" s="40"/>
      <c r="H168" s="40"/>
      <c r="I168" s="40"/>
      <c r="J168" s="40"/>
      <c r="K168" s="40"/>
    </row>
    <row r="169" spans="1:11" ht="79.5" customHeight="1" x14ac:dyDescent="0.3">
      <c r="A169" s="39"/>
      <c r="B169" s="40"/>
      <c r="C169" s="40"/>
      <c r="D169" s="40"/>
      <c r="E169" s="40"/>
      <c r="F169" s="40"/>
      <c r="G169" s="40"/>
      <c r="H169" s="40"/>
      <c r="I169" s="40"/>
      <c r="J169" s="40"/>
      <c r="K169" s="40"/>
    </row>
    <row r="170" spans="1:11" ht="79.5" customHeight="1" x14ac:dyDescent="0.3">
      <c r="A170" s="39"/>
      <c r="B170" s="40"/>
      <c r="C170" s="40"/>
      <c r="D170" s="40"/>
      <c r="E170" s="40"/>
      <c r="F170" s="40"/>
      <c r="G170" s="40"/>
      <c r="H170" s="40"/>
      <c r="I170" s="40"/>
      <c r="J170" s="40"/>
      <c r="K170" s="40"/>
    </row>
    <row r="171" spans="1:11" ht="79.5" customHeight="1" x14ac:dyDescent="0.3">
      <c r="A171" s="39"/>
      <c r="B171" s="40"/>
      <c r="C171" s="40"/>
      <c r="D171" s="40"/>
      <c r="E171" s="40"/>
      <c r="F171" s="40"/>
      <c r="G171" s="40"/>
      <c r="H171" s="40"/>
      <c r="I171" s="40"/>
      <c r="J171" s="40"/>
      <c r="K171" s="40"/>
    </row>
    <row r="172" spans="1:11" ht="79.5" customHeight="1" x14ac:dyDescent="0.3">
      <c r="A172" s="39"/>
      <c r="B172" s="40"/>
      <c r="C172" s="40"/>
      <c r="D172" s="40"/>
      <c r="E172" s="40"/>
      <c r="F172" s="40"/>
      <c r="G172" s="40"/>
      <c r="H172" s="40"/>
      <c r="I172" s="40"/>
      <c r="J172" s="40"/>
      <c r="K172" s="40"/>
    </row>
    <row r="173" spans="1:11" ht="79.5" customHeight="1" x14ac:dyDescent="0.3">
      <c r="A173" s="39"/>
      <c r="B173" s="40"/>
      <c r="C173" s="40"/>
      <c r="D173" s="40"/>
      <c r="E173" s="40"/>
      <c r="F173" s="40"/>
      <c r="G173" s="40"/>
      <c r="H173" s="40"/>
      <c r="I173" s="40"/>
      <c r="J173" s="40"/>
      <c r="K173" s="40"/>
    </row>
    <row r="174" spans="1:11" ht="79.5" customHeight="1" x14ac:dyDescent="0.3">
      <c r="A174" s="39"/>
      <c r="B174" s="40"/>
      <c r="C174" s="40"/>
      <c r="D174" s="40"/>
      <c r="E174" s="40"/>
      <c r="F174" s="40"/>
      <c r="G174" s="40"/>
      <c r="H174" s="40"/>
      <c r="I174" s="40"/>
      <c r="J174" s="40"/>
      <c r="K174" s="40"/>
    </row>
    <row r="175" spans="1:11" ht="79.5" customHeight="1" x14ac:dyDescent="0.3">
      <c r="A175" s="39"/>
      <c r="B175" s="40"/>
      <c r="C175" s="40"/>
      <c r="D175" s="40"/>
      <c r="E175" s="40"/>
      <c r="F175" s="40"/>
      <c r="G175" s="40"/>
      <c r="H175" s="40"/>
      <c r="I175" s="40"/>
      <c r="J175" s="40"/>
      <c r="K175" s="40"/>
    </row>
    <row r="176" spans="1:11" ht="79.5" customHeight="1" x14ac:dyDescent="0.3">
      <c r="A176" s="39"/>
      <c r="B176" s="40"/>
      <c r="C176" s="40"/>
      <c r="D176" s="40"/>
      <c r="E176" s="40"/>
      <c r="F176" s="40"/>
      <c r="G176" s="40"/>
      <c r="H176" s="40"/>
      <c r="I176" s="40"/>
      <c r="J176" s="40"/>
      <c r="K176" s="40"/>
    </row>
    <row r="177" spans="1:11" ht="79.5" customHeight="1" x14ac:dyDescent="0.3">
      <c r="A177" s="39"/>
      <c r="B177" s="40"/>
      <c r="C177" s="40"/>
      <c r="D177" s="40"/>
      <c r="E177" s="40"/>
      <c r="F177" s="40"/>
      <c r="G177" s="40"/>
      <c r="H177" s="40"/>
      <c r="I177" s="40"/>
      <c r="J177" s="40"/>
      <c r="K177" s="40"/>
    </row>
    <row r="178" spans="1:11" ht="79.5" customHeight="1" x14ac:dyDescent="0.3">
      <c r="A178" s="39"/>
      <c r="B178" s="40"/>
      <c r="C178" s="40"/>
      <c r="D178" s="40"/>
      <c r="E178" s="40"/>
      <c r="F178" s="40"/>
      <c r="G178" s="40"/>
      <c r="H178" s="40"/>
      <c r="I178" s="40"/>
      <c r="J178" s="40"/>
      <c r="K178" s="40"/>
    </row>
    <row r="179" spans="1:11" ht="79.5" customHeight="1" x14ac:dyDescent="0.3">
      <c r="A179" s="39"/>
      <c r="B179" s="40"/>
      <c r="C179" s="40"/>
      <c r="D179" s="40"/>
      <c r="E179" s="40"/>
      <c r="F179" s="40"/>
      <c r="G179" s="40"/>
      <c r="H179" s="40"/>
      <c r="I179" s="40"/>
      <c r="J179" s="40"/>
      <c r="K179" s="40"/>
    </row>
    <row r="180" spans="1:11" ht="79.5" customHeight="1" x14ac:dyDescent="0.3">
      <c r="A180" s="39"/>
      <c r="B180" s="40"/>
      <c r="C180" s="40"/>
      <c r="D180" s="40"/>
      <c r="E180" s="40"/>
      <c r="F180" s="40"/>
      <c r="G180" s="40"/>
      <c r="H180" s="40"/>
      <c r="I180" s="40"/>
      <c r="J180" s="40"/>
      <c r="K180" s="40"/>
    </row>
    <row r="181" spans="1:11" ht="79.5" customHeight="1" x14ac:dyDescent="0.3">
      <c r="A181" s="39"/>
      <c r="B181" s="40"/>
      <c r="C181" s="40"/>
      <c r="D181" s="40"/>
      <c r="E181" s="40"/>
      <c r="F181" s="40"/>
      <c r="G181" s="40"/>
      <c r="H181" s="40"/>
      <c r="I181" s="40"/>
      <c r="J181" s="40"/>
      <c r="K181" s="40"/>
    </row>
    <row r="182" spans="1:11" ht="79.5" customHeight="1" x14ac:dyDescent="0.3">
      <c r="A182" s="39"/>
      <c r="B182" s="40"/>
      <c r="C182" s="40"/>
      <c r="D182" s="40"/>
      <c r="E182" s="40"/>
      <c r="F182" s="40"/>
      <c r="G182" s="40"/>
      <c r="H182" s="40"/>
      <c r="I182" s="40"/>
      <c r="J182" s="40"/>
      <c r="K182" s="40"/>
    </row>
  </sheetData>
  <sortState xmlns:xlrd2="http://schemas.microsoft.com/office/spreadsheetml/2017/richdata2" ref="A3:K118">
    <sortCondition ref="A2:A118"/>
  </sortState>
  <mergeCells count="3">
    <mergeCell ref="C1:F1"/>
    <mergeCell ref="G1:K1"/>
    <mergeCell ref="A1:B1"/>
  </mergeCells>
  <phoneticPr fontId="71" type="noConversion"/>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O102"/>
  <sheetViews>
    <sheetView showGridLines="0" zoomScale="70" zoomScaleNormal="70" workbookViewId="0">
      <pane xSplit="2" ySplit="1" topLeftCell="C15" activePane="bottomRight" state="frozen"/>
      <selection pane="topRight" activeCell="C1" sqref="C1"/>
      <selection pane="bottomLeft" activeCell="A2" sqref="A2"/>
      <selection pane="bottomRight" activeCell="C38" sqref="C38"/>
    </sheetView>
  </sheetViews>
  <sheetFormatPr defaultColWidth="8.5546875" defaultRowHeight="14.4" x14ac:dyDescent="0.3"/>
  <cols>
    <col min="1" max="2" width="10" customWidth="1"/>
    <col min="3" max="3" width="18.88671875" customWidth="1"/>
    <col min="4" max="5" width="17.5546875" customWidth="1"/>
    <col min="6" max="6" width="18.6640625" customWidth="1"/>
    <col min="7" max="8" width="20.5546875" customWidth="1"/>
    <col min="9" max="12" width="14" customWidth="1"/>
    <col min="13" max="13" width="12" customWidth="1"/>
    <col min="14" max="14" width="25" customWidth="1"/>
    <col min="15" max="15" width="30" customWidth="1"/>
  </cols>
  <sheetData>
    <row r="1" spans="1:15" ht="24" customHeight="1" x14ac:dyDescent="0.3">
      <c r="A1" s="108" t="s">
        <v>473</v>
      </c>
      <c r="B1" s="79"/>
      <c r="C1" s="113" t="s">
        <v>646</v>
      </c>
      <c r="D1" s="114"/>
      <c r="E1" s="114"/>
      <c r="F1" s="114"/>
      <c r="G1" s="114"/>
      <c r="H1" s="115"/>
      <c r="I1" s="112" t="s">
        <v>474</v>
      </c>
      <c r="J1" s="79"/>
      <c r="K1" s="79"/>
      <c r="L1" s="79"/>
      <c r="M1" s="108" t="s">
        <v>475</v>
      </c>
      <c r="N1" s="79"/>
      <c r="O1" s="79"/>
    </row>
    <row r="2" spans="1:15" ht="37.5" customHeight="1" thickBot="1" x14ac:dyDescent="0.35">
      <c r="A2" s="38" t="s">
        <v>113</v>
      </c>
      <c r="B2" s="38" t="s">
        <v>464</v>
      </c>
      <c r="C2" s="59" t="s">
        <v>476</v>
      </c>
      <c r="D2" s="59" t="s">
        <v>478</v>
      </c>
      <c r="E2" s="59" t="s">
        <v>643</v>
      </c>
      <c r="F2" s="68" t="s">
        <v>477</v>
      </c>
      <c r="G2" s="68" t="s">
        <v>479</v>
      </c>
      <c r="H2" s="68" t="s">
        <v>644</v>
      </c>
      <c r="I2" s="39" t="s">
        <v>480</v>
      </c>
      <c r="J2" s="39" t="s">
        <v>481</v>
      </c>
      <c r="K2" s="39" t="s">
        <v>482</v>
      </c>
      <c r="L2" s="39" t="s">
        <v>483</v>
      </c>
      <c r="M2" s="39" t="s">
        <v>484</v>
      </c>
      <c r="N2" s="39" t="s">
        <v>23</v>
      </c>
      <c r="O2" s="39" t="s">
        <v>485</v>
      </c>
    </row>
    <row r="3" spans="1:15" ht="21.75" customHeight="1" x14ac:dyDescent="0.3">
      <c r="A3" s="39" t="s">
        <v>129</v>
      </c>
      <c r="B3" s="58" t="s">
        <v>635</v>
      </c>
      <c r="C3" s="61">
        <v>68</v>
      </c>
      <c r="D3" s="64">
        <v>69</v>
      </c>
      <c r="E3" s="64">
        <v>68</v>
      </c>
      <c r="F3" s="61" t="s">
        <v>140</v>
      </c>
      <c r="G3" s="61" t="s">
        <v>140</v>
      </c>
      <c r="H3" s="61" t="s">
        <v>140</v>
      </c>
      <c r="I3" s="67"/>
      <c r="J3" s="41"/>
      <c r="K3" s="41"/>
      <c r="L3" s="41"/>
      <c r="M3" s="41"/>
      <c r="N3" s="41"/>
      <c r="O3" s="41"/>
    </row>
    <row r="4" spans="1:15" ht="21.75" customHeight="1" x14ac:dyDescent="0.3">
      <c r="A4" s="39" t="s">
        <v>144</v>
      </c>
      <c r="B4" s="58" t="s">
        <v>635</v>
      </c>
      <c r="C4" s="62">
        <v>19</v>
      </c>
      <c r="D4" s="65">
        <v>19</v>
      </c>
      <c r="E4" s="65">
        <v>19</v>
      </c>
      <c r="F4" s="62">
        <v>90</v>
      </c>
      <c r="G4" s="62">
        <v>45</v>
      </c>
      <c r="H4" s="62">
        <v>60</v>
      </c>
      <c r="I4" s="67"/>
      <c r="J4" s="41"/>
      <c r="K4" s="41"/>
      <c r="L4" s="41"/>
      <c r="M4" s="41"/>
      <c r="N4" s="41"/>
      <c r="O4" s="41"/>
    </row>
    <row r="5" spans="1:15" ht="21.75" customHeight="1" x14ac:dyDescent="0.3">
      <c r="A5" s="39" t="s">
        <v>154</v>
      </c>
      <c r="B5" s="58" t="s">
        <v>635</v>
      </c>
      <c r="C5" s="62">
        <v>71</v>
      </c>
      <c r="D5" s="65">
        <v>87</v>
      </c>
      <c r="E5" s="65">
        <v>78</v>
      </c>
      <c r="F5" s="62">
        <v>79</v>
      </c>
      <c r="G5" s="62">
        <v>70</v>
      </c>
      <c r="H5" s="62">
        <v>74</v>
      </c>
      <c r="I5" s="67"/>
      <c r="J5" s="41"/>
      <c r="K5" s="41"/>
      <c r="L5" s="41"/>
      <c r="M5" s="41"/>
      <c r="N5" s="41"/>
      <c r="O5" s="41"/>
    </row>
    <row r="6" spans="1:15" ht="21.75" customHeight="1" x14ac:dyDescent="0.3">
      <c r="A6" s="39" t="s">
        <v>165</v>
      </c>
      <c r="B6" s="58" t="s">
        <v>635</v>
      </c>
      <c r="C6" s="62">
        <v>94</v>
      </c>
      <c r="D6" s="65">
        <v>100</v>
      </c>
      <c r="E6" s="65">
        <v>97</v>
      </c>
      <c r="F6" s="62">
        <v>80</v>
      </c>
      <c r="G6" s="62">
        <v>88</v>
      </c>
      <c r="H6" s="62">
        <v>84</v>
      </c>
      <c r="I6" s="67"/>
      <c r="J6" s="41"/>
      <c r="K6" s="41"/>
      <c r="L6" s="41"/>
      <c r="M6" s="41"/>
      <c r="N6" s="41"/>
      <c r="O6" s="41"/>
    </row>
    <row r="7" spans="1:15" ht="21.75" customHeight="1" x14ac:dyDescent="0.3">
      <c r="A7" s="39" t="s">
        <v>176</v>
      </c>
      <c r="B7" s="58" t="s">
        <v>635</v>
      </c>
      <c r="C7" s="62">
        <v>75</v>
      </c>
      <c r="D7" s="65">
        <v>100</v>
      </c>
      <c r="E7" s="65">
        <v>86</v>
      </c>
      <c r="F7" s="62">
        <v>85</v>
      </c>
      <c r="G7" s="62">
        <v>57</v>
      </c>
      <c r="H7" s="62">
        <v>68</v>
      </c>
      <c r="I7" s="67"/>
      <c r="J7" s="41"/>
      <c r="K7" s="41"/>
      <c r="L7" s="41"/>
      <c r="M7" s="41"/>
      <c r="N7" s="41"/>
      <c r="O7" s="41"/>
    </row>
    <row r="8" spans="1:15" ht="21.75" customHeight="1" x14ac:dyDescent="0.3">
      <c r="A8" s="39" t="s">
        <v>185</v>
      </c>
      <c r="B8" s="58" t="s">
        <v>635</v>
      </c>
      <c r="C8" s="62">
        <v>100</v>
      </c>
      <c r="D8" s="65">
        <v>41</v>
      </c>
      <c r="E8" s="65">
        <v>58</v>
      </c>
      <c r="F8" s="62">
        <v>81</v>
      </c>
      <c r="G8" s="62">
        <v>63</v>
      </c>
      <c r="H8" s="62">
        <v>71</v>
      </c>
      <c r="I8" s="67"/>
      <c r="J8" s="41"/>
      <c r="K8" s="41"/>
      <c r="L8" s="41"/>
      <c r="M8" s="41"/>
      <c r="N8" s="41"/>
      <c r="O8" s="41"/>
    </row>
    <row r="9" spans="1:15" ht="21.75" customHeight="1" x14ac:dyDescent="0.3">
      <c r="A9" s="39" t="s">
        <v>194</v>
      </c>
      <c r="B9" s="58" t="s">
        <v>635</v>
      </c>
      <c r="C9" s="62">
        <v>100</v>
      </c>
      <c r="D9" s="65">
        <v>41</v>
      </c>
      <c r="E9" s="65">
        <v>58</v>
      </c>
      <c r="F9" s="62" t="s">
        <v>140</v>
      </c>
      <c r="G9" s="62" t="s">
        <v>140</v>
      </c>
      <c r="H9" s="62" t="s">
        <v>140</v>
      </c>
      <c r="I9" s="67"/>
      <c r="J9" s="41"/>
      <c r="K9" s="41"/>
      <c r="L9" s="41"/>
      <c r="M9" s="41"/>
      <c r="N9" s="41"/>
      <c r="O9" s="41"/>
    </row>
    <row r="10" spans="1:15" ht="21.75" customHeight="1" x14ac:dyDescent="0.3">
      <c r="A10" s="39" t="s">
        <v>204</v>
      </c>
      <c r="B10" s="58" t="s">
        <v>635</v>
      </c>
      <c r="C10" s="62">
        <v>100</v>
      </c>
      <c r="D10" s="65">
        <v>41</v>
      </c>
      <c r="E10" s="65">
        <v>58</v>
      </c>
      <c r="F10" s="62">
        <v>85</v>
      </c>
      <c r="G10" s="62">
        <v>57</v>
      </c>
      <c r="H10" s="62">
        <v>68</v>
      </c>
      <c r="I10" s="67"/>
      <c r="J10" s="41"/>
      <c r="K10" s="41"/>
      <c r="L10" s="41"/>
      <c r="M10" s="41"/>
      <c r="N10" s="41"/>
      <c r="O10" s="41"/>
    </row>
    <row r="11" spans="1:15" ht="21.75" customHeight="1" x14ac:dyDescent="0.3">
      <c r="A11" s="39" t="s">
        <v>213</v>
      </c>
      <c r="B11" s="58" t="s">
        <v>635</v>
      </c>
      <c r="C11" s="62">
        <v>75</v>
      </c>
      <c r="D11" s="65">
        <v>100</v>
      </c>
      <c r="E11" s="65">
        <v>86</v>
      </c>
      <c r="F11" s="62">
        <v>85</v>
      </c>
      <c r="G11" s="62">
        <v>57</v>
      </c>
      <c r="H11" s="62">
        <v>68</v>
      </c>
      <c r="I11" s="67"/>
      <c r="J11" s="41"/>
      <c r="K11" s="41"/>
      <c r="L11" s="41"/>
      <c r="M11" s="41"/>
      <c r="N11" s="41"/>
      <c r="O11" s="41"/>
    </row>
    <row r="12" spans="1:15" ht="21.75" customHeight="1" x14ac:dyDescent="0.3">
      <c r="A12" s="39" t="s">
        <v>222</v>
      </c>
      <c r="B12" s="58" t="s">
        <v>635</v>
      </c>
      <c r="C12" s="62">
        <v>75</v>
      </c>
      <c r="D12" s="65">
        <v>100</v>
      </c>
      <c r="E12" s="65">
        <v>86</v>
      </c>
      <c r="F12" s="62">
        <v>100</v>
      </c>
      <c r="G12" s="62">
        <v>19</v>
      </c>
      <c r="H12" s="62">
        <v>32</v>
      </c>
      <c r="I12" s="67"/>
      <c r="J12" s="41"/>
      <c r="K12" s="41"/>
      <c r="L12" s="41"/>
      <c r="M12" s="41"/>
      <c r="N12" s="41"/>
      <c r="O12" s="41"/>
    </row>
    <row r="13" spans="1:15" ht="21.75" customHeight="1" x14ac:dyDescent="0.3">
      <c r="A13" s="39" t="s">
        <v>232</v>
      </c>
      <c r="B13" s="58" t="s">
        <v>635</v>
      </c>
      <c r="C13" s="62">
        <v>75</v>
      </c>
      <c r="D13" s="65">
        <v>100</v>
      </c>
      <c r="E13" s="65">
        <v>86</v>
      </c>
      <c r="F13" s="62">
        <v>100</v>
      </c>
      <c r="G13" s="62">
        <v>22</v>
      </c>
      <c r="H13" s="62">
        <v>36</v>
      </c>
      <c r="I13" s="67"/>
      <c r="J13" s="41"/>
      <c r="K13" s="41"/>
      <c r="L13" s="41"/>
      <c r="M13" s="41"/>
      <c r="N13" s="41"/>
      <c r="O13" s="41"/>
    </row>
    <row r="14" spans="1:15" ht="21.75" customHeight="1" x14ac:dyDescent="0.3">
      <c r="A14" s="39" t="s">
        <v>238</v>
      </c>
      <c r="B14" s="58" t="s">
        <v>635</v>
      </c>
      <c r="C14" s="62">
        <v>75</v>
      </c>
      <c r="D14" s="65">
        <v>100</v>
      </c>
      <c r="E14" s="65">
        <v>86</v>
      </c>
      <c r="F14" s="62">
        <v>85</v>
      </c>
      <c r="G14" s="62">
        <v>59</v>
      </c>
      <c r="H14" s="62">
        <v>70</v>
      </c>
      <c r="I14" s="67"/>
      <c r="J14" s="41"/>
      <c r="K14" s="41"/>
      <c r="L14" s="41"/>
      <c r="M14" s="41"/>
      <c r="N14" s="41"/>
      <c r="O14" s="41"/>
    </row>
    <row r="15" spans="1:15" ht="21.75" customHeight="1" x14ac:dyDescent="0.3">
      <c r="A15" s="39" t="s">
        <v>246</v>
      </c>
      <c r="B15" s="58" t="s">
        <v>635</v>
      </c>
      <c r="C15" s="62" t="s">
        <v>140</v>
      </c>
      <c r="D15" s="65" t="s">
        <v>140</v>
      </c>
      <c r="E15" s="65" t="s">
        <v>140</v>
      </c>
      <c r="F15" s="62">
        <v>85</v>
      </c>
      <c r="G15" s="62">
        <v>51</v>
      </c>
      <c r="H15" s="62">
        <v>64</v>
      </c>
      <c r="I15" s="67"/>
      <c r="J15" s="41"/>
      <c r="K15" s="41"/>
      <c r="L15" s="41"/>
      <c r="M15" s="41"/>
      <c r="N15" s="41"/>
      <c r="O15" s="41"/>
    </row>
    <row r="16" spans="1:15" ht="21.75" customHeight="1" x14ac:dyDescent="0.3">
      <c r="A16" s="39" t="s">
        <v>256</v>
      </c>
      <c r="B16" s="58" t="s">
        <v>635</v>
      </c>
      <c r="C16" s="62" t="s">
        <v>140</v>
      </c>
      <c r="D16" s="65" t="s">
        <v>140</v>
      </c>
      <c r="E16" s="65" t="s">
        <v>140</v>
      </c>
      <c r="F16" s="62">
        <v>85</v>
      </c>
      <c r="G16" s="62">
        <v>50</v>
      </c>
      <c r="H16" s="62">
        <v>63</v>
      </c>
      <c r="I16" s="67"/>
      <c r="J16" s="41"/>
      <c r="K16" s="41"/>
      <c r="L16" s="41"/>
      <c r="M16" s="41"/>
      <c r="N16" s="41"/>
      <c r="O16" s="41"/>
    </row>
    <row r="17" spans="1:15" ht="21.75" customHeight="1" x14ac:dyDescent="0.3">
      <c r="A17" s="39" t="s">
        <v>264</v>
      </c>
      <c r="B17" s="58" t="s">
        <v>635</v>
      </c>
      <c r="C17" s="62">
        <v>75</v>
      </c>
      <c r="D17" s="65">
        <v>100</v>
      </c>
      <c r="E17" s="65">
        <v>86</v>
      </c>
      <c r="F17" s="62">
        <v>85</v>
      </c>
      <c r="G17" s="62">
        <v>57</v>
      </c>
      <c r="H17" s="62">
        <v>68</v>
      </c>
      <c r="I17" s="67"/>
      <c r="J17" s="41"/>
      <c r="K17" s="41"/>
      <c r="L17" s="41"/>
      <c r="M17" s="41"/>
      <c r="N17" s="41"/>
      <c r="O17" s="41"/>
    </row>
    <row r="18" spans="1:15" ht="21.75" customHeight="1" x14ac:dyDescent="0.3">
      <c r="A18" s="39" t="s">
        <v>271</v>
      </c>
      <c r="B18" s="58" t="s">
        <v>635</v>
      </c>
      <c r="C18" s="62">
        <v>75</v>
      </c>
      <c r="D18" s="65">
        <v>100</v>
      </c>
      <c r="E18" s="65">
        <v>86</v>
      </c>
      <c r="F18" s="62">
        <v>100</v>
      </c>
      <c r="G18" s="62">
        <v>22</v>
      </c>
      <c r="H18" s="62">
        <v>36</v>
      </c>
      <c r="I18" s="67"/>
      <c r="J18" s="41"/>
      <c r="K18" s="41"/>
      <c r="L18" s="41"/>
      <c r="M18" s="41"/>
      <c r="N18" s="41"/>
      <c r="O18" s="41"/>
    </row>
    <row r="19" spans="1:15" ht="21.75" customHeight="1" x14ac:dyDescent="0.3">
      <c r="A19" s="39" t="s">
        <v>279</v>
      </c>
      <c r="B19" s="58" t="s">
        <v>635</v>
      </c>
      <c r="C19" s="62">
        <v>75</v>
      </c>
      <c r="D19" s="65">
        <v>100</v>
      </c>
      <c r="E19" s="65">
        <v>86</v>
      </c>
      <c r="F19" s="62">
        <v>81</v>
      </c>
      <c r="G19" s="62">
        <v>63</v>
      </c>
      <c r="H19" s="62">
        <v>71</v>
      </c>
      <c r="I19" s="67"/>
      <c r="J19" s="41"/>
      <c r="K19" s="41"/>
      <c r="L19" s="41"/>
      <c r="M19" s="41"/>
      <c r="N19" s="41"/>
      <c r="O19" s="41"/>
    </row>
    <row r="20" spans="1:15" ht="21.75" customHeight="1" x14ac:dyDescent="0.3">
      <c r="A20" s="39" t="s">
        <v>287</v>
      </c>
      <c r="B20" s="58" t="s">
        <v>635</v>
      </c>
      <c r="C20" s="62">
        <v>72</v>
      </c>
      <c r="D20" s="65">
        <v>100</v>
      </c>
      <c r="E20" s="65">
        <v>84</v>
      </c>
      <c r="F20" s="62">
        <v>94</v>
      </c>
      <c r="G20" s="62">
        <v>66</v>
      </c>
      <c r="H20" s="62">
        <v>78</v>
      </c>
      <c r="I20" s="67"/>
      <c r="J20" s="41"/>
      <c r="K20" s="41"/>
      <c r="L20" s="41"/>
      <c r="M20" s="41"/>
      <c r="N20" s="41"/>
      <c r="O20" s="41"/>
    </row>
    <row r="21" spans="1:15" ht="21.75" customHeight="1" x14ac:dyDescent="0.3">
      <c r="A21" s="39" t="s">
        <v>296</v>
      </c>
      <c r="B21" s="58" t="s">
        <v>635</v>
      </c>
      <c r="C21" s="62">
        <v>72</v>
      </c>
      <c r="D21" s="65">
        <v>100</v>
      </c>
      <c r="E21" s="65">
        <v>84</v>
      </c>
      <c r="F21" s="62">
        <v>94</v>
      </c>
      <c r="G21" s="62">
        <v>65</v>
      </c>
      <c r="H21" s="62">
        <v>77</v>
      </c>
      <c r="I21" s="67"/>
      <c r="J21" s="41"/>
      <c r="K21" s="41"/>
      <c r="L21" s="41"/>
      <c r="M21" s="41"/>
      <c r="N21" s="41"/>
      <c r="O21" s="41"/>
    </row>
    <row r="22" spans="1:15" ht="21.75" customHeight="1" x14ac:dyDescent="0.3">
      <c r="A22" s="39" t="s">
        <v>305</v>
      </c>
      <c r="B22" s="58" t="s">
        <v>635</v>
      </c>
      <c r="C22" s="62">
        <v>75</v>
      </c>
      <c r="D22" s="65">
        <v>100</v>
      </c>
      <c r="E22" s="65">
        <v>86</v>
      </c>
      <c r="F22" s="62">
        <v>83</v>
      </c>
      <c r="G22" s="62">
        <v>75</v>
      </c>
      <c r="H22" s="62">
        <v>79</v>
      </c>
      <c r="I22" s="67"/>
      <c r="J22" s="41"/>
      <c r="K22" s="41"/>
      <c r="L22" s="41"/>
      <c r="M22" s="41"/>
      <c r="N22" s="41"/>
      <c r="O22" s="41"/>
    </row>
    <row r="23" spans="1:15" ht="21.75" customHeight="1" x14ac:dyDescent="0.3">
      <c r="A23" s="39" t="s">
        <v>313</v>
      </c>
      <c r="B23" s="58" t="s">
        <v>635</v>
      </c>
      <c r="C23" s="62">
        <v>75</v>
      </c>
      <c r="D23" s="65">
        <v>100</v>
      </c>
      <c r="E23" s="65">
        <v>86</v>
      </c>
      <c r="F23" s="62">
        <v>85</v>
      </c>
      <c r="G23" s="62">
        <v>59</v>
      </c>
      <c r="H23" s="62">
        <v>70</v>
      </c>
      <c r="I23" s="67"/>
      <c r="J23" s="41"/>
      <c r="K23" s="41"/>
      <c r="L23" s="41"/>
      <c r="M23" s="41"/>
      <c r="N23" s="41"/>
      <c r="O23" s="41"/>
    </row>
    <row r="24" spans="1:15" ht="21.75" customHeight="1" x14ac:dyDescent="0.3">
      <c r="A24" s="39" t="s">
        <v>320</v>
      </c>
      <c r="B24" s="58" t="s">
        <v>635</v>
      </c>
      <c r="C24" s="62">
        <v>26</v>
      </c>
      <c r="D24" s="65">
        <v>75</v>
      </c>
      <c r="E24" s="65">
        <v>38</v>
      </c>
      <c r="F24" s="62">
        <v>86</v>
      </c>
      <c r="G24" s="62">
        <v>37</v>
      </c>
      <c r="H24" s="62">
        <v>52</v>
      </c>
      <c r="I24" s="67"/>
      <c r="J24" s="41"/>
      <c r="K24" s="41"/>
      <c r="L24" s="41"/>
      <c r="M24" s="41"/>
      <c r="N24" s="41"/>
      <c r="O24" s="41"/>
    </row>
    <row r="25" spans="1:15" ht="21.75" customHeight="1" x14ac:dyDescent="0.3">
      <c r="A25" s="39" t="s">
        <v>331</v>
      </c>
      <c r="B25" s="58" t="s">
        <v>635</v>
      </c>
      <c r="C25" s="62">
        <v>25</v>
      </c>
      <c r="D25" s="65">
        <v>75</v>
      </c>
      <c r="E25" s="65">
        <v>38</v>
      </c>
      <c r="F25" s="62">
        <v>87</v>
      </c>
      <c r="G25" s="62">
        <v>38</v>
      </c>
      <c r="H25" s="62">
        <v>53</v>
      </c>
      <c r="I25" s="67"/>
      <c r="J25" s="41"/>
      <c r="K25" s="41"/>
      <c r="L25" s="41"/>
      <c r="M25" s="41"/>
      <c r="N25" s="41"/>
      <c r="O25" s="41"/>
    </row>
    <row r="26" spans="1:15" ht="21.75" customHeight="1" x14ac:dyDescent="0.3">
      <c r="A26" s="39" t="s">
        <v>341</v>
      </c>
      <c r="B26" s="58" t="s">
        <v>635</v>
      </c>
      <c r="C26" s="62">
        <v>72</v>
      </c>
      <c r="D26" s="65">
        <v>100</v>
      </c>
      <c r="E26" s="65">
        <v>84</v>
      </c>
      <c r="F26" s="62">
        <v>92</v>
      </c>
      <c r="G26" s="62">
        <v>73</v>
      </c>
      <c r="H26" s="62">
        <v>81</v>
      </c>
      <c r="I26" s="67"/>
      <c r="J26" s="41"/>
      <c r="K26" s="41"/>
      <c r="L26" s="41"/>
      <c r="M26" s="41"/>
      <c r="N26" s="41"/>
      <c r="O26" s="41"/>
    </row>
    <row r="27" spans="1:15" ht="21.75" customHeight="1" x14ac:dyDescent="0.3">
      <c r="A27" s="39" t="s">
        <v>350</v>
      </c>
      <c r="B27" s="58" t="s">
        <v>635</v>
      </c>
      <c r="C27" s="62">
        <v>75</v>
      </c>
      <c r="D27" s="65">
        <v>100</v>
      </c>
      <c r="E27" s="65">
        <v>86</v>
      </c>
      <c r="F27" s="62">
        <v>78</v>
      </c>
      <c r="G27" s="62">
        <v>63</v>
      </c>
      <c r="H27" s="62">
        <v>70</v>
      </c>
      <c r="I27" s="67"/>
      <c r="J27" s="41"/>
      <c r="K27" s="41"/>
      <c r="L27" s="41"/>
      <c r="M27" s="41"/>
      <c r="N27" s="41"/>
      <c r="O27" s="41"/>
    </row>
    <row r="28" spans="1:15" ht="21.75" customHeight="1" x14ac:dyDescent="0.3">
      <c r="A28" s="39" t="s">
        <v>359</v>
      </c>
      <c r="B28" s="58" t="s">
        <v>635</v>
      </c>
      <c r="C28" s="62">
        <v>100</v>
      </c>
      <c r="D28" s="65">
        <v>100</v>
      </c>
      <c r="E28" s="65">
        <v>100</v>
      </c>
      <c r="F28" s="62">
        <v>82</v>
      </c>
      <c r="G28" s="62">
        <v>72</v>
      </c>
      <c r="H28" s="62">
        <v>77</v>
      </c>
      <c r="I28" s="67"/>
      <c r="J28" s="41"/>
      <c r="K28" s="41"/>
      <c r="L28" s="41"/>
      <c r="M28" s="41"/>
      <c r="N28" s="41"/>
      <c r="O28" s="41"/>
    </row>
    <row r="29" spans="1:15" ht="21.75" customHeight="1" x14ac:dyDescent="0.3">
      <c r="A29" s="39" t="s">
        <v>369</v>
      </c>
      <c r="B29" s="58" t="s">
        <v>635</v>
      </c>
      <c r="C29" s="62">
        <v>100</v>
      </c>
      <c r="D29" s="65">
        <v>33</v>
      </c>
      <c r="E29" s="65">
        <v>50</v>
      </c>
      <c r="F29" s="62" t="s">
        <v>140</v>
      </c>
      <c r="G29" s="62" t="s">
        <v>140</v>
      </c>
      <c r="H29" s="62" t="s">
        <v>140</v>
      </c>
      <c r="I29" s="67"/>
      <c r="J29" s="41"/>
      <c r="K29" s="41"/>
      <c r="L29" s="41"/>
      <c r="M29" s="41"/>
      <c r="N29" s="41"/>
      <c r="O29" s="41"/>
    </row>
    <row r="30" spans="1:15" ht="21.75" customHeight="1" x14ac:dyDescent="0.3">
      <c r="A30" s="39" t="s">
        <v>378</v>
      </c>
      <c r="B30" s="58" t="s">
        <v>635</v>
      </c>
      <c r="C30" s="62">
        <v>100</v>
      </c>
      <c r="D30" s="65">
        <v>81</v>
      </c>
      <c r="E30" s="65">
        <v>90</v>
      </c>
      <c r="F30" s="62">
        <v>84</v>
      </c>
      <c r="G30" s="62">
        <v>75</v>
      </c>
      <c r="H30" s="62">
        <v>79</v>
      </c>
      <c r="I30" s="67"/>
      <c r="J30" s="41"/>
      <c r="K30" s="41"/>
      <c r="L30" s="41"/>
      <c r="M30" s="41"/>
      <c r="N30" s="41"/>
      <c r="O30" s="41"/>
    </row>
    <row r="31" spans="1:15" ht="21.75" customHeight="1" x14ac:dyDescent="0.3">
      <c r="A31" s="39" t="s">
        <v>387</v>
      </c>
      <c r="B31" s="58" t="s">
        <v>635</v>
      </c>
      <c r="C31" s="62">
        <v>100</v>
      </c>
      <c r="D31" s="65">
        <v>81</v>
      </c>
      <c r="E31" s="65">
        <v>90</v>
      </c>
      <c r="F31" s="62">
        <v>83</v>
      </c>
      <c r="G31" s="62">
        <v>65</v>
      </c>
      <c r="H31" s="62">
        <v>73</v>
      </c>
      <c r="I31" s="67"/>
      <c r="J31" s="41"/>
      <c r="K31" s="41"/>
      <c r="L31" s="41"/>
      <c r="M31" s="41"/>
      <c r="N31" s="41"/>
      <c r="O31" s="41"/>
    </row>
    <row r="32" spans="1:15" ht="21.75" customHeight="1" x14ac:dyDescent="0.3">
      <c r="A32" s="39" t="s">
        <v>397</v>
      </c>
      <c r="B32" s="58" t="s">
        <v>635</v>
      </c>
      <c r="C32" s="62">
        <v>30</v>
      </c>
      <c r="D32" s="65">
        <v>81</v>
      </c>
      <c r="E32" s="65">
        <v>43</v>
      </c>
      <c r="F32" s="62">
        <v>82</v>
      </c>
      <c r="G32" s="62">
        <v>49</v>
      </c>
      <c r="H32" s="62">
        <v>61</v>
      </c>
      <c r="I32" s="67"/>
      <c r="J32" s="41"/>
      <c r="K32" s="41"/>
      <c r="L32" s="41"/>
      <c r="M32" s="41"/>
      <c r="N32" s="41"/>
      <c r="O32" s="41"/>
    </row>
    <row r="33" spans="1:15" ht="21.75" customHeight="1" x14ac:dyDescent="0.3">
      <c r="A33" s="39" t="s">
        <v>409</v>
      </c>
      <c r="B33" s="58" t="s">
        <v>635</v>
      </c>
      <c r="C33" s="62" t="s">
        <v>140</v>
      </c>
      <c r="D33" s="65" t="s">
        <v>140</v>
      </c>
      <c r="E33" s="65" t="s">
        <v>140</v>
      </c>
      <c r="F33" s="62">
        <v>58</v>
      </c>
      <c r="G33" s="62">
        <v>58</v>
      </c>
      <c r="H33" s="62">
        <v>58</v>
      </c>
      <c r="I33" s="67"/>
      <c r="J33" s="41"/>
      <c r="K33" s="41"/>
      <c r="L33" s="41"/>
      <c r="M33" s="41"/>
      <c r="N33" s="41"/>
      <c r="O33" s="41"/>
    </row>
    <row r="34" spans="1:15" ht="21.75" customHeight="1" x14ac:dyDescent="0.3">
      <c r="A34" s="39" t="s">
        <v>417</v>
      </c>
      <c r="B34" s="58" t="s">
        <v>635</v>
      </c>
      <c r="C34" s="62" t="s">
        <v>140</v>
      </c>
      <c r="D34" s="65" t="s">
        <v>140</v>
      </c>
      <c r="E34" s="65" t="s">
        <v>140</v>
      </c>
      <c r="F34" s="62">
        <v>55</v>
      </c>
      <c r="G34" s="62">
        <v>66</v>
      </c>
      <c r="H34" s="62">
        <v>60</v>
      </c>
      <c r="I34" s="67"/>
      <c r="J34" s="41"/>
      <c r="K34" s="41"/>
      <c r="L34" s="41"/>
      <c r="M34" s="41"/>
      <c r="N34" s="41"/>
      <c r="O34" s="41"/>
    </row>
    <row r="35" spans="1:15" ht="21.75" customHeight="1" x14ac:dyDescent="0.3">
      <c r="A35" s="39" t="s">
        <v>426</v>
      </c>
      <c r="B35" s="58" t="s">
        <v>635</v>
      </c>
      <c r="C35" s="62">
        <v>85</v>
      </c>
      <c r="D35" s="65">
        <v>100</v>
      </c>
      <c r="E35" s="65">
        <v>92</v>
      </c>
      <c r="F35" s="62">
        <v>81</v>
      </c>
      <c r="G35" s="62">
        <v>72</v>
      </c>
      <c r="H35" s="62">
        <v>76</v>
      </c>
      <c r="I35" s="67"/>
      <c r="J35" s="41"/>
      <c r="K35" s="41"/>
      <c r="L35" s="41"/>
      <c r="M35" s="41"/>
      <c r="N35" s="41"/>
      <c r="O35" s="41"/>
    </row>
    <row r="36" spans="1:15" ht="21.75" customHeight="1" x14ac:dyDescent="0.3">
      <c r="A36" s="39" t="s">
        <v>436</v>
      </c>
      <c r="B36" s="58" t="s">
        <v>635</v>
      </c>
      <c r="C36" s="62">
        <v>50</v>
      </c>
      <c r="D36" s="65">
        <v>100</v>
      </c>
      <c r="E36" s="65">
        <v>67</v>
      </c>
      <c r="F36" s="62">
        <v>85</v>
      </c>
      <c r="G36" s="62">
        <v>57</v>
      </c>
      <c r="H36" s="62">
        <v>68</v>
      </c>
      <c r="I36" s="67"/>
      <c r="J36" s="41"/>
      <c r="K36" s="41"/>
      <c r="L36" s="41"/>
      <c r="M36" s="41"/>
      <c r="N36" s="41"/>
      <c r="O36" s="41"/>
    </row>
    <row r="37" spans="1:15" ht="21.75" customHeight="1" x14ac:dyDescent="0.3">
      <c r="A37" s="39" t="s">
        <v>445</v>
      </c>
      <c r="B37" s="58" t="s">
        <v>635</v>
      </c>
      <c r="C37" s="62">
        <v>75</v>
      </c>
      <c r="D37" s="65">
        <v>100</v>
      </c>
      <c r="E37" s="65">
        <v>86</v>
      </c>
      <c r="F37" s="62">
        <v>80</v>
      </c>
      <c r="G37" s="62">
        <v>69</v>
      </c>
      <c r="H37" s="62">
        <v>74</v>
      </c>
      <c r="I37" s="67"/>
      <c r="J37" s="41"/>
      <c r="K37" s="41"/>
      <c r="L37" s="41"/>
      <c r="M37" s="41"/>
      <c r="N37" s="41"/>
      <c r="O37" s="41"/>
    </row>
    <row r="38" spans="1:15" ht="21.75" customHeight="1" thickBot="1" x14ac:dyDescent="0.35">
      <c r="A38" s="39" t="s">
        <v>454</v>
      </c>
      <c r="B38" s="58" t="s">
        <v>635</v>
      </c>
      <c r="C38" s="63" t="s">
        <v>140</v>
      </c>
      <c r="D38" s="66" t="s">
        <v>140</v>
      </c>
      <c r="E38" s="66" t="s">
        <v>140</v>
      </c>
      <c r="F38" s="63" t="s">
        <v>140</v>
      </c>
      <c r="G38" s="63" t="s">
        <v>140</v>
      </c>
      <c r="H38" s="63" t="s">
        <v>140</v>
      </c>
      <c r="I38" s="67"/>
      <c r="J38" s="41"/>
      <c r="K38" s="41"/>
      <c r="L38" s="41"/>
      <c r="M38" s="41"/>
      <c r="N38" s="41"/>
      <c r="O38" s="41"/>
    </row>
    <row r="39" spans="1:15" ht="21.75" customHeight="1" x14ac:dyDescent="0.3">
      <c r="A39" s="41"/>
      <c r="B39" s="41"/>
      <c r="C39" s="60"/>
      <c r="D39" s="60"/>
      <c r="E39" s="60"/>
      <c r="F39" s="60"/>
      <c r="G39" s="60"/>
      <c r="H39" s="60"/>
      <c r="I39" s="41"/>
      <c r="J39" s="41"/>
      <c r="K39" s="41"/>
      <c r="L39" s="41"/>
      <c r="M39" s="41"/>
      <c r="N39" s="41"/>
      <c r="O39" s="41"/>
    </row>
    <row r="40" spans="1:15" ht="21.75" customHeight="1" x14ac:dyDescent="0.3">
      <c r="A40" s="41"/>
      <c r="B40" s="41"/>
      <c r="C40" s="41"/>
      <c r="D40" s="41"/>
      <c r="E40" s="41"/>
      <c r="F40" s="41"/>
      <c r="G40" s="41"/>
      <c r="H40" s="41"/>
      <c r="I40" s="41"/>
      <c r="J40" s="41"/>
      <c r="K40" s="41"/>
      <c r="L40" s="41"/>
      <c r="M40" s="41"/>
      <c r="N40" s="41"/>
      <c r="O40" s="41"/>
    </row>
    <row r="41" spans="1:15" ht="21.75" customHeight="1" x14ac:dyDescent="0.3">
      <c r="A41" s="41"/>
      <c r="B41" s="41"/>
      <c r="C41" s="41"/>
      <c r="D41" s="41"/>
      <c r="E41" s="41"/>
      <c r="F41" s="41"/>
      <c r="G41" s="41"/>
      <c r="H41" s="41"/>
      <c r="I41" s="41"/>
      <c r="J41" s="41"/>
      <c r="K41" s="41"/>
      <c r="L41" s="41"/>
      <c r="M41" s="41"/>
      <c r="N41" s="41"/>
      <c r="O41" s="41"/>
    </row>
    <row r="42" spans="1:15" ht="21.75" customHeight="1" x14ac:dyDescent="0.3">
      <c r="A42" s="41"/>
      <c r="B42" s="41"/>
      <c r="C42" s="41"/>
      <c r="D42" s="41"/>
      <c r="E42" s="41"/>
      <c r="F42" s="41"/>
      <c r="G42" s="41"/>
      <c r="H42" s="41"/>
      <c r="I42" s="41"/>
      <c r="J42" s="41"/>
      <c r="K42" s="41"/>
      <c r="L42" s="41"/>
      <c r="M42" s="41"/>
      <c r="N42" s="41"/>
      <c r="O42" s="41"/>
    </row>
    <row r="43" spans="1:15" ht="21.75" customHeight="1" x14ac:dyDescent="0.3">
      <c r="A43" s="41"/>
      <c r="B43" s="41"/>
      <c r="C43" s="41"/>
      <c r="D43" s="41"/>
      <c r="E43" s="41"/>
      <c r="F43" s="41"/>
      <c r="G43" s="41"/>
      <c r="H43" s="41"/>
      <c r="I43" s="41"/>
      <c r="J43" s="41"/>
      <c r="K43" s="41"/>
      <c r="L43" s="41"/>
      <c r="M43" s="41"/>
      <c r="N43" s="41"/>
      <c r="O43" s="41"/>
    </row>
    <row r="44" spans="1:15" ht="21.75" customHeight="1" x14ac:dyDescent="0.3">
      <c r="A44" s="41"/>
      <c r="B44" s="41"/>
      <c r="C44" s="41"/>
      <c r="D44" s="41"/>
      <c r="E44" s="41"/>
      <c r="F44" s="41"/>
      <c r="G44" s="41"/>
      <c r="H44" s="41"/>
      <c r="I44" s="41"/>
      <c r="J44" s="41"/>
      <c r="K44" s="41"/>
      <c r="L44" s="41"/>
      <c r="M44" s="41"/>
      <c r="N44" s="41"/>
      <c r="O44" s="41"/>
    </row>
    <row r="45" spans="1:15" ht="21.75" customHeight="1" x14ac:dyDescent="0.3">
      <c r="A45" s="41"/>
      <c r="B45" s="41"/>
      <c r="C45" s="41"/>
      <c r="D45" s="41"/>
      <c r="E45" s="41"/>
      <c r="F45" s="41"/>
      <c r="G45" s="41"/>
      <c r="H45" s="41"/>
      <c r="I45" s="41"/>
      <c r="J45" s="41"/>
      <c r="K45" s="41"/>
      <c r="L45" s="41"/>
      <c r="M45" s="41"/>
      <c r="N45" s="41"/>
      <c r="O45" s="41"/>
    </row>
    <row r="46" spans="1:15" ht="21.75" customHeight="1" x14ac:dyDescent="0.3">
      <c r="A46" s="41"/>
      <c r="B46" s="41"/>
      <c r="C46" s="41"/>
      <c r="D46" s="41"/>
      <c r="E46" s="41"/>
      <c r="F46" s="41"/>
      <c r="G46" s="41"/>
      <c r="H46" s="41"/>
      <c r="I46" s="41"/>
      <c r="J46" s="41"/>
      <c r="K46" s="41"/>
      <c r="L46" s="41"/>
      <c r="M46" s="41"/>
      <c r="N46" s="41"/>
      <c r="O46" s="41"/>
    </row>
    <row r="47" spans="1:15" ht="21.75" customHeight="1" x14ac:dyDescent="0.3">
      <c r="A47" s="41"/>
      <c r="B47" s="41"/>
      <c r="C47" s="41"/>
      <c r="D47" s="41"/>
      <c r="E47" s="41"/>
      <c r="F47" s="41"/>
      <c r="G47" s="41"/>
      <c r="H47" s="41"/>
      <c r="I47" s="41"/>
      <c r="J47" s="41"/>
      <c r="K47" s="41"/>
      <c r="L47" s="41"/>
      <c r="M47" s="41"/>
      <c r="N47" s="41"/>
      <c r="O47" s="41"/>
    </row>
    <row r="48" spans="1:15" ht="21.75" customHeight="1" x14ac:dyDescent="0.3">
      <c r="A48" s="41"/>
      <c r="B48" s="41"/>
      <c r="C48" s="41"/>
      <c r="D48" s="41"/>
      <c r="E48" s="41"/>
      <c r="F48" s="41"/>
      <c r="G48" s="41"/>
      <c r="H48" s="41"/>
      <c r="I48" s="41"/>
      <c r="J48" s="41"/>
      <c r="K48" s="41"/>
      <c r="L48" s="41"/>
      <c r="M48" s="41"/>
      <c r="N48" s="41"/>
      <c r="O48" s="41"/>
    </row>
    <row r="49" spans="1:15" ht="21.75" customHeight="1" x14ac:dyDescent="0.3">
      <c r="A49" s="41"/>
      <c r="B49" s="41"/>
      <c r="C49" s="41"/>
      <c r="D49" s="41"/>
      <c r="E49" s="41"/>
      <c r="F49" s="41"/>
      <c r="G49" s="41"/>
      <c r="H49" s="41"/>
      <c r="I49" s="41"/>
      <c r="J49" s="41"/>
      <c r="K49" s="41"/>
      <c r="L49" s="41"/>
      <c r="M49" s="41"/>
      <c r="N49" s="41"/>
      <c r="O49" s="41"/>
    </row>
    <row r="50" spans="1:15" ht="21.75" customHeight="1" x14ac:dyDescent="0.3">
      <c r="A50" s="41"/>
      <c r="B50" s="41"/>
      <c r="C50" s="41"/>
      <c r="D50" s="41"/>
      <c r="E50" s="41"/>
      <c r="F50" s="41"/>
      <c r="G50" s="41"/>
      <c r="H50" s="41"/>
      <c r="I50" s="41"/>
      <c r="J50" s="41"/>
      <c r="K50" s="41"/>
      <c r="L50" s="41"/>
      <c r="M50" s="41"/>
      <c r="N50" s="41"/>
      <c r="O50" s="41"/>
    </row>
    <row r="51" spans="1:15" ht="21.75" customHeight="1" x14ac:dyDescent="0.3">
      <c r="A51" s="41"/>
      <c r="B51" s="41"/>
      <c r="C51" s="41"/>
      <c r="D51" s="41"/>
      <c r="E51" s="41"/>
      <c r="F51" s="41"/>
      <c r="G51" s="41"/>
      <c r="H51" s="41"/>
      <c r="I51" s="41"/>
      <c r="J51" s="41"/>
      <c r="K51" s="41"/>
      <c r="L51" s="41"/>
      <c r="M51" s="41"/>
      <c r="N51" s="41"/>
      <c r="O51" s="41"/>
    </row>
    <row r="52" spans="1:15" ht="21.75" customHeight="1" x14ac:dyDescent="0.3">
      <c r="A52" s="41"/>
      <c r="B52" s="41"/>
      <c r="C52" s="41"/>
      <c r="D52" s="41"/>
      <c r="E52" s="41"/>
      <c r="F52" s="41"/>
      <c r="G52" s="41"/>
      <c r="H52" s="41"/>
      <c r="I52" s="41"/>
      <c r="J52" s="41"/>
      <c r="K52" s="41"/>
      <c r="L52" s="41"/>
      <c r="M52" s="41"/>
      <c r="N52" s="41"/>
      <c r="O52" s="41"/>
    </row>
    <row r="53" spans="1:15" ht="21.75" customHeight="1" x14ac:dyDescent="0.3">
      <c r="A53" s="41"/>
      <c r="B53" s="41"/>
      <c r="C53" s="41"/>
      <c r="D53" s="41"/>
      <c r="E53" s="41"/>
      <c r="F53" s="41"/>
      <c r="G53" s="41"/>
      <c r="H53" s="41"/>
      <c r="I53" s="41"/>
      <c r="J53" s="41"/>
      <c r="K53" s="41"/>
      <c r="L53" s="41"/>
      <c r="M53" s="41"/>
      <c r="N53" s="41"/>
      <c r="O53" s="41"/>
    </row>
    <row r="54" spans="1:15" ht="21.75" customHeight="1" x14ac:dyDescent="0.3">
      <c r="A54" s="41"/>
      <c r="B54" s="41"/>
      <c r="C54" s="41"/>
      <c r="D54" s="41"/>
      <c r="E54" s="41"/>
      <c r="F54" s="41"/>
      <c r="G54" s="41"/>
      <c r="H54" s="41"/>
      <c r="I54" s="41"/>
      <c r="J54" s="41"/>
      <c r="K54" s="41"/>
      <c r="L54" s="41"/>
      <c r="M54" s="41"/>
      <c r="N54" s="41"/>
      <c r="O54" s="41"/>
    </row>
    <row r="55" spans="1:15" ht="21.75" customHeight="1" x14ac:dyDescent="0.3">
      <c r="A55" s="41"/>
      <c r="B55" s="41"/>
      <c r="C55" s="41"/>
      <c r="D55" s="41"/>
      <c r="E55" s="41"/>
      <c r="F55" s="41"/>
      <c r="G55" s="41"/>
      <c r="H55" s="41"/>
      <c r="I55" s="41"/>
      <c r="J55" s="41"/>
      <c r="K55" s="41"/>
      <c r="L55" s="41"/>
      <c r="M55" s="41"/>
      <c r="N55" s="41"/>
      <c r="O55" s="41"/>
    </row>
    <row r="56" spans="1:15" ht="21.75" customHeight="1" x14ac:dyDescent="0.3">
      <c r="A56" s="41"/>
      <c r="B56" s="41"/>
      <c r="C56" s="41"/>
      <c r="D56" s="41"/>
      <c r="E56" s="41"/>
      <c r="F56" s="41"/>
      <c r="G56" s="41"/>
      <c r="H56" s="41"/>
      <c r="I56" s="41"/>
      <c r="J56" s="41"/>
      <c r="K56" s="41"/>
      <c r="L56" s="41"/>
      <c r="M56" s="41"/>
      <c r="N56" s="41"/>
      <c r="O56" s="41"/>
    </row>
    <row r="57" spans="1:15" ht="21.75" customHeight="1" x14ac:dyDescent="0.3">
      <c r="A57" s="41"/>
      <c r="B57" s="41"/>
      <c r="C57" s="41"/>
      <c r="D57" s="41"/>
      <c r="E57" s="41"/>
      <c r="F57" s="41"/>
      <c r="G57" s="41"/>
      <c r="H57" s="41"/>
      <c r="I57" s="41"/>
      <c r="J57" s="41"/>
      <c r="K57" s="41"/>
      <c r="L57" s="41"/>
      <c r="M57" s="41"/>
      <c r="N57" s="41"/>
      <c r="O57" s="41"/>
    </row>
    <row r="58" spans="1:15" ht="21.75" customHeight="1" x14ac:dyDescent="0.3">
      <c r="A58" s="41"/>
      <c r="B58" s="41"/>
      <c r="C58" s="41"/>
      <c r="D58" s="41"/>
      <c r="E58" s="41"/>
      <c r="F58" s="41"/>
      <c r="G58" s="41"/>
      <c r="H58" s="41"/>
      <c r="I58" s="41"/>
      <c r="J58" s="41"/>
      <c r="K58" s="41"/>
      <c r="L58" s="41"/>
      <c r="M58" s="41"/>
      <c r="N58" s="41"/>
      <c r="O58" s="41"/>
    </row>
    <row r="59" spans="1:15" ht="21.75" customHeight="1" x14ac:dyDescent="0.3">
      <c r="A59" s="41"/>
      <c r="B59" s="41"/>
      <c r="C59" s="41"/>
      <c r="D59" s="41"/>
      <c r="E59" s="41"/>
      <c r="F59" s="41"/>
      <c r="G59" s="41"/>
      <c r="H59" s="41"/>
      <c r="I59" s="41"/>
      <c r="J59" s="41"/>
      <c r="K59" s="41"/>
      <c r="L59" s="41"/>
      <c r="M59" s="41"/>
      <c r="N59" s="41"/>
      <c r="O59" s="41"/>
    </row>
    <row r="60" spans="1:15" ht="21.75" customHeight="1" x14ac:dyDescent="0.3">
      <c r="A60" s="41"/>
      <c r="B60" s="41"/>
      <c r="C60" s="41"/>
      <c r="D60" s="41"/>
      <c r="E60" s="41"/>
      <c r="F60" s="41"/>
      <c r="G60" s="41"/>
      <c r="H60" s="41"/>
      <c r="I60" s="41"/>
      <c r="J60" s="41"/>
      <c r="K60" s="41"/>
      <c r="L60" s="41"/>
      <c r="M60" s="41"/>
      <c r="N60" s="41"/>
      <c r="O60" s="41"/>
    </row>
    <row r="61" spans="1:15" ht="21.75" customHeight="1" x14ac:dyDescent="0.3">
      <c r="A61" s="41"/>
      <c r="B61" s="41"/>
      <c r="C61" s="41"/>
      <c r="D61" s="41"/>
      <c r="E61" s="41"/>
      <c r="F61" s="41"/>
      <c r="G61" s="41"/>
      <c r="H61" s="41"/>
      <c r="I61" s="41"/>
      <c r="J61" s="41"/>
      <c r="K61" s="41"/>
      <c r="L61" s="41"/>
      <c r="M61" s="41"/>
      <c r="N61" s="41"/>
      <c r="O61" s="41"/>
    </row>
    <row r="62" spans="1:15" ht="21.75" customHeight="1" x14ac:dyDescent="0.3">
      <c r="A62" s="41"/>
      <c r="B62" s="41"/>
      <c r="C62" s="41"/>
      <c r="D62" s="41"/>
      <c r="E62" s="41"/>
      <c r="F62" s="41"/>
      <c r="G62" s="41"/>
      <c r="H62" s="41"/>
      <c r="I62" s="41"/>
      <c r="J62" s="41"/>
      <c r="K62" s="41"/>
      <c r="L62" s="41"/>
      <c r="M62" s="41"/>
      <c r="N62" s="41"/>
      <c r="O62" s="41"/>
    </row>
    <row r="63" spans="1:15" ht="21.75" customHeight="1" x14ac:dyDescent="0.3">
      <c r="A63" s="41"/>
      <c r="B63" s="41"/>
      <c r="C63" s="41"/>
      <c r="D63" s="41"/>
      <c r="E63" s="41"/>
      <c r="F63" s="41"/>
      <c r="G63" s="41"/>
      <c r="H63" s="41"/>
      <c r="I63" s="41"/>
      <c r="J63" s="41"/>
      <c r="K63" s="41"/>
      <c r="L63" s="41"/>
      <c r="M63" s="41"/>
      <c r="N63" s="41"/>
      <c r="O63" s="41"/>
    </row>
    <row r="64" spans="1:15" ht="21.75" customHeight="1" x14ac:dyDescent="0.3">
      <c r="A64" s="41"/>
      <c r="B64" s="41"/>
      <c r="C64" s="41"/>
      <c r="D64" s="41"/>
      <c r="E64" s="41"/>
      <c r="F64" s="41"/>
      <c r="G64" s="41"/>
      <c r="H64" s="41"/>
      <c r="I64" s="41"/>
      <c r="J64" s="41"/>
      <c r="K64" s="41"/>
      <c r="L64" s="41"/>
      <c r="M64" s="41"/>
      <c r="N64" s="41"/>
      <c r="O64" s="41"/>
    </row>
    <row r="65" spans="1:15" ht="21.75" customHeight="1" x14ac:dyDescent="0.3">
      <c r="A65" s="41"/>
      <c r="B65" s="41"/>
      <c r="C65" s="41"/>
      <c r="D65" s="41"/>
      <c r="E65" s="41"/>
      <c r="F65" s="41"/>
      <c r="G65" s="41"/>
      <c r="H65" s="41"/>
      <c r="I65" s="41"/>
      <c r="J65" s="41"/>
      <c r="K65" s="41"/>
      <c r="L65" s="41"/>
      <c r="M65" s="41"/>
      <c r="N65" s="41"/>
      <c r="O65" s="41"/>
    </row>
    <row r="66" spans="1:15" ht="21.75" customHeight="1" x14ac:dyDescent="0.3">
      <c r="A66" s="41"/>
      <c r="B66" s="41"/>
      <c r="C66" s="41"/>
      <c r="D66" s="41"/>
      <c r="E66" s="41"/>
      <c r="F66" s="41"/>
      <c r="G66" s="41"/>
      <c r="H66" s="41"/>
      <c r="I66" s="41"/>
      <c r="J66" s="41"/>
      <c r="K66" s="41"/>
      <c r="L66" s="41"/>
      <c r="M66" s="41"/>
      <c r="N66" s="41"/>
      <c r="O66" s="41"/>
    </row>
    <row r="67" spans="1:15" ht="21.75" customHeight="1" x14ac:dyDescent="0.3">
      <c r="A67" s="41"/>
      <c r="B67" s="41"/>
      <c r="C67" s="41"/>
      <c r="D67" s="41"/>
      <c r="E67" s="41"/>
      <c r="F67" s="41"/>
      <c r="G67" s="41"/>
      <c r="H67" s="41"/>
      <c r="I67" s="41"/>
      <c r="J67" s="41"/>
      <c r="K67" s="41"/>
      <c r="L67" s="41"/>
      <c r="M67" s="41"/>
      <c r="N67" s="41"/>
      <c r="O67" s="41"/>
    </row>
    <row r="68" spans="1:15" ht="21.75" customHeight="1" x14ac:dyDescent="0.3">
      <c r="A68" s="41"/>
      <c r="B68" s="41"/>
      <c r="C68" s="41"/>
      <c r="D68" s="41"/>
      <c r="E68" s="41"/>
      <c r="F68" s="41"/>
      <c r="G68" s="41"/>
      <c r="H68" s="41"/>
      <c r="I68" s="41"/>
      <c r="J68" s="41"/>
      <c r="K68" s="41"/>
      <c r="L68" s="41"/>
      <c r="M68" s="41"/>
      <c r="N68" s="41"/>
      <c r="O68" s="41"/>
    </row>
    <row r="69" spans="1:15" ht="21.75" customHeight="1" x14ac:dyDescent="0.3">
      <c r="A69" s="41"/>
      <c r="B69" s="41"/>
      <c r="C69" s="41"/>
      <c r="D69" s="41"/>
      <c r="E69" s="41"/>
      <c r="F69" s="41"/>
      <c r="G69" s="41"/>
      <c r="H69" s="41"/>
      <c r="I69" s="41"/>
      <c r="J69" s="41"/>
      <c r="K69" s="41"/>
      <c r="L69" s="41"/>
      <c r="M69" s="41"/>
      <c r="N69" s="41"/>
      <c r="O69" s="41"/>
    </row>
    <row r="70" spans="1:15" ht="21.75" customHeight="1" x14ac:dyDescent="0.3">
      <c r="A70" s="41"/>
      <c r="B70" s="41"/>
      <c r="C70" s="41"/>
      <c r="D70" s="41"/>
      <c r="E70" s="41"/>
      <c r="F70" s="41"/>
      <c r="G70" s="41"/>
      <c r="H70" s="41"/>
      <c r="I70" s="41"/>
      <c r="J70" s="41"/>
      <c r="K70" s="41"/>
      <c r="L70" s="41"/>
      <c r="M70" s="41"/>
      <c r="N70" s="41"/>
      <c r="O70" s="41"/>
    </row>
    <row r="71" spans="1:15" ht="21.75" customHeight="1" x14ac:dyDescent="0.3">
      <c r="A71" s="41"/>
      <c r="B71" s="41"/>
      <c r="C71" s="41"/>
      <c r="D71" s="41"/>
      <c r="E71" s="41"/>
      <c r="F71" s="41"/>
      <c r="G71" s="41"/>
      <c r="H71" s="41"/>
      <c r="I71" s="41"/>
      <c r="J71" s="41"/>
      <c r="K71" s="41"/>
      <c r="L71" s="41"/>
      <c r="M71" s="41"/>
      <c r="N71" s="41"/>
      <c r="O71" s="41"/>
    </row>
    <row r="72" spans="1:15" ht="21.75" customHeight="1" x14ac:dyDescent="0.3">
      <c r="A72" s="41"/>
      <c r="B72" s="41"/>
      <c r="C72" s="41"/>
      <c r="D72" s="41"/>
      <c r="E72" s="41"/>
      <c r="F72" s="41"/>
      <c r="G72" s="41"/>
      <c r="H72" s="41"/>
      <c r="I72" s="41"/>
      <c r="J72" s="41"/>
      <c r="K72" s="41"/>
      <c r="L72" s="41"/>
      <c r="M72" s="41"/>
      <c r="N72" s="41"/>
      <c r="O72" s="41"/>
    </row>
    <row r="73" spans="1:15" ht="21.75" customHeight="1" x14ac:dyDescent="0.3">
      <c r="A73" s="41"/>
      <c r="B73" s="41"/>
      <c r="C73" s="41"/>
      <c r="D73" s="41"/>
      <c r="E73" s="41"/>
      <c r="F73" s="41"/>
      <c r="G73" s="41"/>
      <c r="H73" s="41"/>
      <c r="I73" s="41"/>
      <c r="J73" s="41"/>
      <c r="K73" s="41"/>
      <c r="L73" s="41"/>
      <c r="M73" s="41"/>
      <c r="N73" s="41"/>
      <c r="O73" s="41"/>
    </row>
    <row r="74" spans="1:15" ht="21.75" customHeight="1" x14ac:dyDescent="0.3">
      <c r="A74" s="41"/>
      <c r="B74" s="41"/>
      <c r="C74" s="41"/>
      <c r="D74" s="41"/>
      <c r="E74" s="41"/>
      <c r="F74" s="41"/>
      <c r="G74" s="41"/>
      <c r="H74" s="41"/>
      <c r="I74" s="41"/>
      <c r="J74" s="41"/>
      <c r="K74" s="41"/>
      <c r="L74" s="41"/>
      <c r="M74" s="41"/>
      <c r="N74" s="41"/>
      <c r="O74" s="41"/>
    </row>
    <row r="75" spans="1:15" ht="21.75" customHeight="1" x14ac:dyDescent="0.3">
      <c r="A75" s="41"/>
      <c r="B75" s="41"/>
      <c r="C75" s="41"/>
      <c r="D75" s="41"/>
      <c r="E75" s="41"/>
      <c r="F75" s="41"/>
      <c r="G75" s="41"/>
      <c r="H75" s="41"/>
      <c r="I75" s="41"/>
      <c r="J75" s="41"/>
      <c r="K75" s="41"/>
      <c r="L75" s="41"/>
      <c r="M75" s="41"/>
      <c r="N75" s="41"/>
      <c r="O75" s="41"/>
    </row>
    <row r="76" spans="1:15" ht="21.75" customHeight="1" x14ac:dyDescent="0.3">
      <c r="A76" s="41"/>
      <c r="B76" s="41"/>
      <c r="C76" s="41"/>
      <c r="D76" s="41"/>
      <c r="E76" s="41"/>
      <c r="F76" s="41"/>
      <c r="G76" s="41"/>
      <c r="H76" s="41"/>
      <c r="I76" s="41"/>
      <c r="J76" s="41"/>
      <c r="K76" s="41"/>
      <c r="L76" s="41"/>
      <c r="M76" s="41"/>
      <c r="N76" s="41"/>
      <c r="O76" s="41"/>
    </row>
    <row r="77" spans="1:15" ht="21.75" customHeight="1" x14ac:dyDescent="0.3">
      <c r="A77" s="41"/>
      <c r="B77" s="41"/>
      <c r="C77" s="41"/>
      <c r="D77" s="41"/>
      <c r="E77" s="41"/>
      <c r="F77" s="41"/>
      <c r="G77" s="41"/>
      <c r="H77" s="41"/>
      <c r="I77" s="41"/>
      <c r="J77" s="41"/>
      <c r="K77" s="41"/>
      <c r="L77" s="41"/>
      <c r="M77" s="41"/>
      <c r="N77" s="41"/>
      <c r="O77" s="41"/>
    </row>
    <row r="78" spans="1:15" ht="21.75" customHeight="1" x14ac:dyDescent="0.3">
      <c r="A78" s="41"/>
      <c r="B78" s="41"/>
      <c r="C78" s="41"/>
      <c r="D78" s="41"/>
      <c r="E78" s="41"/>
      <c r="F78" s="41"/>
      <c r="G78" s="41"/>
      <c r="H78" s="41"/>
      <c r="I78" s="41"/>
      <c r="J78" s="41"/>
      <c r="K78" s="41"/>
      <c r="L78" s="41"/>
      <c r="M78" s="41"/>
      <c r="N78" s="41"/>
      <c r="O78" s="41"/>
    </row>
    <row r="79" spans="1:15" ht="21.75" customHeight="1" x14ac:dyDescent="0.3">
      <c r="A79" s="41"/>
      <c r="B79" s="41"/>
      <c r="C79" s="41"/>
      <c r="D79" s="41"/>
      <c r="E79" s="41"/>
      <c r="F79" s="41"/>
      <c r="G79" s="41"/>
      <c r="H79" s="41"/>
      <c r="I79" s="41"/>
      <c r="J79" s="41"/>
      <c r="K79" s="41"/>
      <c r="L79" s="41"/>
      <c r="M79" s="41"/>
      <c r="N79" s="41"/>
      <c r="O79" s="41"/>
    </row>
    <row r="80" spans="1:15" ht="21.75" customHeight="1" x14ac:dyDescent="0.3">
      <c r="A80" s="41"/>
      <c r="B80" s="41"/>
      <c r="C80" s="41"/>
      <c r="D80" s="41"/>
      <c r="E80" s="41"/>
      <c r="F80" s="41"/>
      <c r="G80" s="41"/>
      <c r="H80" s="41"/>
      <c r="I80" s="41"/>
      <c r="J80" s="41"/>
      <c r="K80" s="41"/>
      <c r="L80" s="41"/>
      <c r="M80" s="41"/>
      <c r="N80" s="41"/>
      <c r="O80" s="41"/>
    </row>
    <row r="81" spans="1:15" ht="21.75" customHeight="1" x14ac:dyDescent="0.3">
      <c r="A81" s="41"/>
      <c r="B81" s="41"/>
      <c r="C81" s="41"/>
      <c r="D81" s="41"/>
      <c r="E81" s="41"/>
      <c r="F81" s="41"/>
      <c r="G81" s="41"/>
      <c r="H81" s="41"/>
      <c r="I81" s="41"/>
      <c r="J81" s="41"/>
      <c r="K81" s="41"/>
      <c r="L81" s="41"/>
      <c r="M81" s="41"/>
      <c r="N81" s="41"/>
      <c r="O81" s="41"/>
    </row>
    <row r="82" spans="1:15" ht="21.75" customHeight="1" x14ac:dyDescent="0.3">
      <c r="A82" s="41"/>
      <c r="B82" s="41"/>
      <c r="C82" s="41"/>
      <c r="D82" s="41"/>
      <c r="E82" s="41"/>
      <c r="F82" s="41"/>
      <c r="G82" s="41"/>
      <c r="H82" s="41"/>
      <c r="I82" s="41"/>
      <c r="J82" s="41"/>
      <c r="K82" s="41"/>
      <c r="L82" s="41"/>
      <c r="M82" s="41"/>
      <c r="N82" s="41"/>
      <c r="O82" s="41"/>
    </row>
    <row r="83" spans="1:15" ht="21.75" customHeight="1" x14ac:dyDescent="0.3">
      <c r="A83" s="41"/>
      <c r="B83" s="41"/>
      <c r="C83" s="41"/>
      <c r="D83" s="41"/>
      <c r="E83" s="41"/>
      <c r="F83" s="41"/>
      <c r="G83" s="41"/>
      <c r="H83" s="41"/>
      <c r="I83" s="41"/>
      <c r="J83" s="41"/>
      <c r="K83" s="41"/>
      <c r="L83" s="41"/>
      <c r="M83" s="41"/>
      <c r="N83" s="41"/>
      <c r="O83" s="41"/>
    </row>
    <row r="84" spans="1:15" ht="21.75" customHeight="1" x14ac:dyDescent="0.3">
      <c r="A84" s="41"/>
      <c r="B84" s="41"/>
      <c r="C84" s="41"/>
      <c r="D84" s="41"/>
      <c r="E84" s="41"/>
      <c r="F84" s="41"/>
      <c r="G84" s="41"/>
      <c r="H84" s="41"/>
      <c r="I84" s="41"/>
      <c r="J84" s="41"/>
      <c r="K84" s="41"/>
      <c r="L84" s="41"/>
      <c r="M84" s="41"/>
      <c r="N84" s="41"/>
      <c r="O84" s="41"/>
    </row>
    <row r="85" spans="1:15" ht="21.75" customHeight="1" x14ac:dyDescent="0.3">
      <c r="A85" s="41"/>
      <c r="B85" s="41"/>
      <c r="C85" s="41"/>
      <c r="D85" s="41"/>
      <c r="E85" s="41"/>
      <c r="F85" s="41"/>
      <c r="G85" s="41"/>
      <c r="H85" s="41"/>
      <c r="I85" s="41"/>
      <c r="J85" s="41"/>
      <c r="K85" s="41"/>
      <c r="L85" s="41"/>
      <c r="M85" s="41"/>
      <c r="N85" s="41"/>
      <c r="O85" s="41"/>
    </row>
    <row r="86" spans="1:15" ht="21.75" customHeight="1" x14ac:dyDescent="0.3">
      <c r="A86" s="41"/>
      <c r="B86" s="41"/>
      <c r="C86" s="41"/>
      <c r="D86" s="41"/>
      <c r="E86" s="41"/>
      <c r="F86" s="41"/>
      <c r="G86" s="41"/>
      <c r="H86" s="41"/>
      <c r="I86" s="41"/>
      <c r="J86" s="41"/>
      <c r="K86" s="41"/>
      <c r="L86" s="41"/>
      <c r="M86" s="41"/>
      <c r="N86" s="41"/>
      <c r="O86" s="41"/>
    </row>
    <row r="87" spans="1:15" ht="21.75" customHeight="1" x14ac:dyDescent="0.3">
      <c r="A87" s="41"/>
      <c r="B87" s="41"/>
      <c r="C87" s="41"/>
      <c r="D87" s="41"/>
      <c r="E87" s="41"/>
      <c r="F87" s="41"/>
      <c r="G87" s="41"/>
      <c r="H87" s="41"/>
      <c r="I87" s="41"/>
      <c r="J87" s="41"/>
      <c r="K87" s="41"/>
      <c r="L87" s="41"/>
      <c r="M87" s="41"/>
      <c r="N87" s="41"/>
      <c r="O87" s="41"/>
    </row>
    <row r="88" spans="1:15" ht="21.75" customHeight="1" x14ac:dyDescent="0.3">
      <c r="A88" s="41"/>
      <c r="B88" s="41"/>
      <c r="C88" s="41"/>
      <c r="D88" s="41"/>
      <c r="E88" s="41"/>
      <c r="F88" s="41"/>
      <c r="G88" s="41"/>
      <c r="H88" s="41"/>
      <c r="I88" s="41"/>
      <c r="J88" s="41"/>
      <c r="K88" s="41"/>
      <c r="L88" s="41"/>
      <c r="M88" s="41"/>
      <c r="N88" s="41"/>
      <c r="O88" s="41"/>
    </row>
    <row r="89" spans="1:15" ht="21.75" customHeight="1" x14ac:dyDescent="0.3">
      <c r="A89" s="41"/>
      <c r="B89" s="41"/>
      <c r="C89" s="41"/>
      <c r="D89" s="41"/>
      <c r="E89" s="41"/>
      <c r="F89" s="41"/>
      <c r="G89" s="41"/>
      <c r="H89" s="41"/>
      <c r="I89" s="41"/>
      <c r="J89" s="41"/>
      <c r="K89" s="41"/>
      <c r="L89" s="41"/>
      <c r="M89" s="41"/>
      <c r="N89" s="41"/>
      <c r="O89" s="41"/>
    </row>
    <row r="90" spans="1:15" ht="21.75" customHeight="1" x14ac:dyDescent="0.3">
      <c r="A90" s="41"/>
      <c r="B90" s="41"/>
      <c r="C90" s="41"/>
      <c r="D90" s="41"/>
      <c r="E90" s="41"/>
      <c r="F90" s="41"/>
      <c r="G90" s="41"/>
      <c r="H90" s="41"/>
      <c r="I90" s="41"/>
      <c r="J90" s="41"/>
      <c r="K90" s="41"/>
      <c r="L90" s="41"/>
      <c r="M90" s="41"/>
      <c r="N90" s="41"/>
      <c r="O90" s="41"/>
    </row>
    <row r="91" spans="1:15" ht="21.75" customHeight="1" x14ac:dyDescent="0.3">
      <c r="A91" s="41"/>
      <c r="B91" s="41"/>
      <c r="C91" s="41"/>
      <c r="D91" s="41"/>
      <c r="E91" s="41"/>
      <c r="F91" s="41"/>
      <c r="G91" s="41"/>
      <c r="H91" s="41"/>
      <c r="I91" s="41"/>
      <c r="J91" s="41"/>
      <c r="K91" s="41"/>
      <c r="L91" s="41"/>
      <c r="M91" s="41"/>
      <c r="N91" s="41"/>
      <c r="O91" s="41"/>
    </row>
    <row r="92" spans="1:15" ht="21.75" customHeight="1" x14ac:dyDescent="0.3">
      <c r="A92" s="41"/>
      <c r="B92" s="41"/>
      <c r="C92" s="41"/>
      <c r="D92" s="41"/>
      <c r="E92" s="41"/>
      <c r="F92" s="41"/>
      <c r="G92" s="41"/>
      <c r="H92" s="41"/>
      <c r="I92" s="41"/>
      <c r="J92" s="41"/>
      <c r="K92" s="41"/>
      <c r="L92" s="41"/>
      <c r="M92" s="41"/>
      <c r="N92" s="41"/>
      <c r="O92" s="41"/>
    </row>
    <row r="93" spans="1:15" ht="21.75" customHeight="1" x14ac:dyDescent="0.3">
      <c r="A93" s="41"/>
      <c r="B93" s="41"/>
      <c r="C93" s="41"/>
      <c r="D93" s="41"/>
      <c r="E93" s="41"/>
      <c r="F93" s="41"/>
      <c r="G93" s="41"/>
      <c r="H93" s="41"/>
      <c r="I93" s="41"/>
      <c r="J93" s="41"/>
      <c r="K93" s="41"/>
      <c r="L93" s="41"/>
      <c r="M93" s="41"/>
      <c r="N93" s="41"/>
      <c r="O93" s="41"/>
    </row>
    <row r="94" spans="1:15" ht="21.75" customHeight="1" x14ac:dyDescent="0.3">
      <c r="A94" s="41"/>
      <c r="B94" s="41"/>
      <c r="C94" s="41"/>
      <c r="D94" s="41"/>
      <c r="E94" s="41"/>
      <c r="F94" s="41"/>
      <c r="G94" s="41"/>
      <c r="H94" s="41"/>
      <c r="I94" s="41"/>
      <c r="J94" s="41"/>
      <c r="K94" s="41"/>
      <c r="L94" s="41"/>
      <c r="M94" s="41"/>
      <c r="N94" s="41"/>
      <c r="O94" s="41"/>
    </row>
    <row r="95" spans="1:15" ht="21.75" customHeight="1" x14ac:dyDescent="0.3">
      <c r="A95" s="41"/>
      <c r="B95" s="41"/>
      <c r="C95" s="41"/>
      <c r="D95" s="41"/>
      <c r="E95" s="41"/>
      <c r="F95" s="41"/>
      <c r="G95" s="41"/>
      <c r="H95" s="41"/>
      <c r="I95" s="41"/>
      <c r="J95" s="41"/>
      <c r="K95" s="41"/>
      <c r="L95" s="41"/>
      <c r="M95" s="41"/>
      <c r="N95" s="41"/>
      <c r="O95" s="41"/>
    </row>
    <row r="96" spans="1:15" ht="21.75" customHeight="1" x14ac:dyDescent="0.3">
      <c r="A96" s="41"/>
      <c r="B96" s="41"/>
      <c r="C96" s="41"/>
      <c r="D96" s="41"/>
      <c r="E96" s="41"/>
      <c r="F96" s="41"/>
      <c r="G96" s="41"/>
      <c r="H96" s="41"/>
      <c r="I96" s="41"/>
      <c r="J96" s="41"/>
      <c r="K96" s="41"/>
      <c r="L96" s="41"/>
      <c r="M96" s="41"/>
      <c r="N96" s="41"/>
      <c r="O96" s="41"/>
    </row>
    <row r="97" spans="1:15" ht="21.75" customHeight="1" x14ac:dyDescent="0.3">
      <c r="A97" s="41"/>
      <c r="B97" s="41"/>
      <c r="C97" s="41"/>
      <c r="D97" s="41"/>
      <c r="E97" s="41"/>
      <c r="F97" s="41"/>
      <c r="G97" s="41"/>
      <c r="H97" s="41"/>
      <c r="I97" s="41"/>
      <c r="J97" s="41"/>
      <c r="K97" s="41"/>
      <c r="L97" s="41"/>
      <c r="M97" s="41"/>
      <c r="N97" s="41"/>
      <c r="O97" s="41"/>
    </row>
    <row r="98" spans="1:15" ht="21.75" customHeight="1" x14ac:dyDescent="0.3">
      <c r="A98" s="41"/>
      <c r="B98" s="41"/>
      <c r="C98" s="41"/>
      <c r="D98" s="41"/>
      <c r="E98" s="41"/>
      <c r="F98" s="41"/>
      <c r="G98" s="41"/>
      <c r="H98" s="41"/>
      <c r="I98" s="41"/>
      <c r="J98" s="41"/>
      <c r="K98" s="41"/>
      <c r="L98" s="41"/>
      <c r="M98" s="41"/>
      <c r="N98" s="41"/>
      <c r="O98" s="41"/>
    </row>
    <row r="99" spans="1:15" ht="21.75" customHeight="1" x14ac:dyDescent="0.3">
      <c r="A99" s="41"/>
      <c r="B99" s="41"/>
      <c r="C99" s="41"/>
      <c r="D99" s="41"/>
      <c r="E99" s="41"/>
      <c r="F99" s="41"/>
      <c r="G99" s="41"/>
      <c r="H99" s="41"/>
      <c r="I99" s="41"/>
      <c r="J99" s="41"/>
      <c r="K99" s="41"/>
      <c r="L99" s="41"/>
      <c r="M99" s="41"/>
      <c r="N99" s="41"/>
      <c r="O99" s="41"/>
    </row>
    <row r="100" spans="1:15" ht="21.75" customHeight="1" x14ac:dyDescent="0.3">
      <c r="A100" s="41"/>
      <c r="B100" s="41"/>
      <c r="C100" s="41"/>
      <c r="D100" s="41"/>
      <c r="E100" s="41"/>
      <c r="F100" s="41"/>
      <c r="G100" s="41"/>
      <c r="H100" s="41"/>
      <c r="I100" s="41"/>
      <c r="J100" s="41"/>
      <c r="K100" s="41"/>
      <c r="L100" s="41"/>
      <c r="M100" s="41"/>
      <c r="N100" s="41"/>
      <c r="O100" s="41"/>
    </row>
    <row r="101" spans="1:15" ht="21.75" customHeight="1" x14ac:dyDescent="0.3">
      <c r="A101" s="41"/>
      <c r="B101" s="41"/>
      <c r="C101" s="41"/>
      <c r="D101" s="41"/>
      <c r="E101" s="41"/>
      <c r="F101" s="41"/>
      <c r="G101" s="41"/>
      <c r="H101" s="41"/>
      <c r="I101" s="41"/>
      <c r="J101" s="41"/>
      <c r="K101" s="41"/>
      <c r="L101" s="41"/>
      <c r="M101" s="41"/>
      <c r="N101" s="41"/>
      <c r="O101" s="41"/>
    </row>
    <row r="102" spans="1:15" ht="21.75" customHeight="1" x14ac:dyDescent="0.3">
      <c r="A102" s="41"/>
      <c r="B102" s="41"/>
      <c r="C102" s="41"/>
      <c r="D102" s="41"/>
      <c r="E102" s="41"/>
      <c r="F102" s="41"/>
      <c r="G102" s="41"/>
      <c r="H102" s="41"/>
      <c r="I102" s="41"/>
      <c r="J102" s="41"/>
      <c r="K102" s="41"/>
      <c r="L102" s="41"/>
      <c r="M102" s="41"/>
      <c r="N102" s="41"/>
      <c r="O102" s="41"/>
    </row>
  </sheetData>
  <mergeCells count="4">
    <mergeCell ref="A1:B1"/>
    <mergeCell ref="I1:L1"/>
    <mergeCell ref="M1:O1"/>
    <mergeCell ref="C1:H1"/>
  </mergeCells>
  <phoneticPr fontId="71" type="noConversion"/>
  <conditionalFormatting sqref="C39:L103 C3:C38 F3:L38">
    <cfRule type="colorScale" priority="4">
      <colorScale>
        <cfvo type="num" val="0"/>
        <cfvo type="num" val="70"/>
        <cfvo type="num" val="100"/>
        <color rgb="FFF8C7C7"/>
        <color rgb="FFFFE8B0"/>
        <color rgb="FFB6E2C8"/>
      </colorScale>
    </cfRule>
  </conditionalFormatting>
  <conditionalFormatting sqref="D3:D38">
    <cfRule type="colorScale" priority="2">
      <colorScale>
        <cfvo type="num" val="0"/>
        <cfvo type="num" val="70"/>
        <cfvo type="num" val="100"/>
        <color rgb="FFF8C7C7"/>
        <color rgb="FFFFE8B0"/>
        <color rgb="FFB6E2C8"/>
      </colorScale>
    </cfRule>
  </conditionalFormatting>
  <conditionalFormatting sqref="E3:E38">
    <cfRule type="colorScale" priority="1">
      <colorScale>
        <cfvo type="num" val="0"/>
        <cfvo type="num" val="70"/>
        <cfvo type="num" val="100"/>
        <color rgb="FFF8C7C7"/>
        <color rgb="FFFFE8B0"/>
        <color rgb="FFB6E2C8"/>
      </colorScale>
    </cfRule>
  </conditionalFormatting>
  <dataValidations disablePrompts="1" count="2">
    <dataValidation type="list" allowBlank="1" sqref="M3:M103" xr:uid="{00000000-0002-0000-0400-000000000000}">
      <formula1>"Pass,Fail,Pending"</formula1>
      <formula2>0</formula2>
    </dataValidation>
    <dataValidation type="list" allowBlank="1" sqref="N3:N103" xr:uid="{00000000-0002-0000-0400-000001000000}">
      <formula1>"Hallucination,Wrong NDE,Wrong spec,Wrong sequence,Missing step,Wrong material logic,Format issue,Other"</formula1>
      <formula2>0</formula2>
    </dataValidation>
  </dataValidations>
  <pageMargins left="0.75" right="0.75" top="1" bottom="1" header="0.511811023622047" footer="0.511811023622047"/>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I152"/>
  <sheetViews>
    <sheetView showGridLines="0" zoomScaleNormal="100" workbookViewId="0">
      <pane xSplit="2" ySplit="1" topLeftCell="C101" activePane="bottomRight" state="frozen"/>
      <selection pane="topRight" activeCell="C1" sqref="C1"/>
      <selection pane="bottomLeft" activeCell="A2" sqref="A2"/>
      <selection pane="bottomRight" activeCell="F135" sqref="F135"/>
    </sheetView>
  </sheetViews>
  <sheetFormatPr defaultColWidth="8.5546875" defaultRowHeight="14.4" x14ac:dyDescent="0.3"/>
  <cols>
    <col min="1" max="2" width="10" customWidth="1"/>
    <col min="3" max="3" width="16" customWidth="1"/>
    <col min="4" max="8" width="12" customWidth="1"/>
    <col min="9" max="9" width="40" customWidth="1"/>
  </cols>
  <sheetData>
    <row r="1" spans="1:9" ht="21.75" customHeight="1" x14ac:dyDescent="0.3">
      <c r="A1" s="108" t="s">
        <v>473</v>
      </c>
      <c r="B1" s="79"/>
      <c r="C1" s="29" t="s">
        <v>486</v>
      </c>
      <c r="D1" s="108" t="s">
        <v>487</v>
      </c>
      <c r="E1" s="79"/>
      <c r="F1" s="79"/>
      <c r="G1" s="79"/>
      <c r="H1" s="108" t="s">
        <v>488</v>
      </c>
      <c r="I1" s="79"/>
    </row>
    <row r="2" spans="1:9" ht="39.75" customHeight="1" x14ac:dyDescent="0.3">
      <c r="A2" s="38" t="s">
        <v>113</v>
      </c>
      <c r="B2" s="38" t="s">
        <v>464</v>
      </c>
      <c r="C2" s="38" t="s">
        <v>489</v>
      </c>
      <c r="D2" s="38" t="s">
        <v>490</v>
      </c>
      <c r="E2" s="38" t="s">
        <v>491</v>
      </c>
      <c r="F2" s="38" t="s">
        <v>492</v>
      </c>
      <c r="G2" s="38" t="s">
        <v>493</v>
      </c>
      <c r="H2" s="38" t="s">
        <v>494</v>
      </c>
      <c r="I2" s="38" t="s">
        <v>495</v>
      </c>
    </row>
    <row r="3" spans="1:9" ht="21.75" customHeight="1" x14ac:dyDescent="0.3">
      <c r="A3" s="31"/>
      <c r="B3" s="31"/>
      <c r="C3" s="31"/>
      <c r="D3" s="31"/>
      <c r="E3" s="31"/>
      <c r="F3" s="31"/>
      <c r="G3" s="31"/>
      <c r="H3" s="31"/>
      <c r="I3" s="31"/>
    </row>
    <row r="4" spans="1:9" ht="21.75" customHeight="1" x14ac:dyDescent="0.3">
      <c r="A4" s="31"/>
      <c r="B4" s="31"/>
      <c r="C4" s="31"/>
      <c r="D4" s="31"/>
      <c r="E4" s="31"/>
      <c r="F4" s="31"/>
      <c r="G4" s="31"/>
      <c r="H4" s="31"/>
      <c r="I4" s="31"/>
    </row>
    <row r="5" spans="1:9" ht="21.75" customHeight="1" x14ac:dyDescent="0.3">
      <c r="A5" s="31"/>
      <c r="B5" s="31"/>
      <c r="C5" s="31"/>
      <c r="D5" s="31"/>
      <c r="E5" s="31"/>
      <c r="F5" s="31"/>
      <c r="G5" s="31"/>
      <c r="H5" s="31"/>
      <c r="I5" s="31"/>
    </row>
    <row r="6" spans="1:9" ht="21.75" customHeight="1" x14ac:dyDescent="0.3">
      <c r="A6" s="31"/>
      <c r="B6" s="31"/>
      <c r="C6" s="31"/>
      <c r="D6" s="31"/>
      <c r="E6" s="31"/>
      <c r="F6" s="31"/>
      <c r="G6" s="31"/>
      <c r="H6" s="31"/>
      <c r="I6" s="31"/>
    </row>
    <row r="7" spans="1:9" ht="21.75" customHeight="1" x14ac:dyDescent="0.3">
      <c r="A7" s="31"/>
      <c r="B7" s="31"/>
      <c r="C7" s="31"/>
      <c r="D7" s="31"/>
      <c r="E7" s="31"/>
      <c r="F7" s="31"/>
      <c r="G7" s="31"/>
      <c r="H7" s="31"/>
      <c r="I7" s="31"/>
    </row>
    <row r="8" spans="1:9" ht="21.75" customHeight="1" x14ac:dyDescent="0.3">
      <c r="A8" s="31"/>
      <c r="B8" s="31"/>
      <c r="C8" s="31"/>
      <c r="D8" s="31"/>
      <c r="E8" s="31"/>
      <c r="F8" s="31"/>
      <c r="G8" s="31"/>
      <c r="H8" s="31"/>
      <c r="I8" s="31"/>
    </row>
    <row r="9" spans="1:9" ht="21.75" customHeight="1" x14ac:dyDescent="0.3">
      <c r="A9" s="31"/>
      <c r="B9" s="31"/>
      <c r="C9" s="31"/>
      <c r="D9" s="31"/>
      <c r="E9" s="31"/>
      <c r="F9" s="31"/>
      <c r="G9" s="31"/>
      <c r="H9" s="31"/>
      <c r="I9" s="31"/>
    </row>
    <row r="10" spans="1:9" ht="21.75" customHeight="1" x14ac:dyDescent="0.3">
      <c r="A10" s="31"/>
      <c r="B10" s="31"/>
      <c r="C10" s="31"/>
      <c r="D10" s="31"/>
      <c r="E10" s="31"/>
      <c r="F10" s="31"/>
      <c r="G10" s="31"/>
      <c r="H10" s="31"/>
      <c r="I10" s="31"/>
    </row>
    <row r="11" spans="1:9" ht="21.75" customHeight="1" x14ac:dyDescent="0.3">
      <c r="A11" s="31"/>
      <c r="B11" s="31"/>
      <c r="C11" s="31"/>
      <c r="D11" s="31"/>
      <c r="E11" s="31"/>
      <c r="F11" s="31"/>
      <c r="G11" s="31"/>
      <c r="H11" s="31"/>
      <c r="I11" s="31"/>
    </row>
    <row r="12" spans="1:9" ht="21.75" customHeight="1" x14ac:dyDescent="0.3">
      <c r="A12" s="31"/>
      <c r="B12" s="31"/>
      <c r="C12" s="31"/>
      <c r="D12" s="31"/>
      <c r="E12" s="31"/>
      <c r="F12" s="31"/>
      <c r="G12" s="31"/>
      <c r="H12" s="31"/>
      <c r="I12" s="31"/>
    </row>
    <row r="13" spans="1:9" ht="21.75" customHeight="1" x14ac:dyDescent="0.3">
      <c r="A13" s="31"/>
      <c r="B13" s="31"/>
      <c r="C13" s="31"/>
      <c r="D13" s="31"/>
      <c r="E13" s="31"/>
      <c r="F13" s="31"/>
      <c r="G13" s="31"/>
      <c r="H13" s="31"/>
      <c r="I13" s="31"/>
    </row>
    <row r="14" spans="1:9" ht="21.75" customHeight="1" x14ac:dyDescent="0.3">
      <c r="A14" s="31"/>
      <c r="B14" s="31"/>
      <c r="C14" s="31"/>
      <c r="D14" s="31"/>
      <c r="E14" s="31"/>
      <c r="F14" s="31"/>
      <c r="G14" s="31"/>
      <c r="H14" s="31"/>
      <c r="I14" s="31"/>
    </row>
    <row r="15" spans="1:9" ht="21.75" customHeight="1" x14ac:dyDescent="0.3">
      <c r="A15" s="31"/>
      <c r="B15" s="31"/>
      <c r="C15" s="31"/>
      <c r="D15" s="31"/>
      <c r="E15" s="31"/>
      <c r="F15" s="31"/>
      <c r="G15" s="31"/>
      <c r="H15" s="31"/>
      <c r="I15" s="31"/>
    </row>
    <row r="16" spans="1:9" ht="21.75" customHeight="1" x14ac:dyDescent="0.3">
      <c r="A16" s="31"/>
      <c r="B16" s="31"/>
      <c r="C16" s="31"/>
      <c r="D16" s="31"/>
      <c r="E16" s="31"/>
      <c r="F16" s="31"/>
      <c r="G16" s="31"/>
      <c r="H16" s="31"/>
      <c r="I16" s="31"/>
    </row>
    <row r="17" spans="1:9" ht="21.75" customHeight="1" x14ac:dyDescent="0.3">
      <c r="A17" s="31"/>
      <c r="B17" s="31"/>
      <c r="C17" s="31"/>
      <c r="D17" s="31"/>
      <c r="E17" s="31"/>
      <c r="F17" s="31"/>
      <c r="G17" s="31"/>
      <c r="H17" s="31"/>
      <c r="I17" s="31"/>
    </row>
    <row r="18" spans="1:9" ht="21.75" customHeight="1" x14ac:dyDescent="0.3">
      <c r="A18" s="31"/>
      <c r="B18" s="31"/>
      <c r="C18" s="31"/>
      <c r="D18" s="31"/>
      <c r="E18" s="31"/>
      <c r="F18" s="31"/>
      <c r="G18" s="31"/>
      <c r="H18" s="31"/>
      <c r="I18" s="31"/>
    </row>
    <row r="19" spans="1:9" ht="21.75" customHeight="1" x14ac:dyDescent="0.3">
      <c r="A19" s="31"/>
      <c r="B19" s="31"/>
      <c r="C19" s="31"/>
      <c r="D19" s="31"/>
      <c r="E19" s="31"/>
      <c r="F19" s="31"/>
      <c r="G19" s="31"/>
      <c r="H19" s="31"/>
      <c r="I19" s="31"/>
    </row>
    <row r="20" spans="1:9" ht="21.75" customHeight="1" x14ac:dyDescent="0.3">
      <c r="A20" s="31"/>
      <c r="B20" s="31"/>
      <c r="C20" s="31"/>
      <c r="D20" s="31"/>
      <c r="E20" s="31"/>
      <c r="F20" s="31"/>
      <c r="G20" s="31"/>
      <c r="H20" s="31"/>
      <c r="I20" s="31"/>
    </row>
    <row r="21" spans="1:9" ht="21.75" customHeight="1" x14ac:dyDescent="0.3">
      <c r="A21" s="31"/>
      <c r="B21" s="31"/>
      <c r="C21" s="31"/>
      <c r="D21" s="31"/>
      <c r="E21" s="31"/>
      <c r="F21" s="31"/>
      <c r="G21" s="31"/>
      <c r="H21" s="31"/>
      <c r="I21" s="31"/>
    </row>
    <row r="22" spans="1:9" ht="21.75" customHeight="1" x14ac:dyDescent="0.3">
      <c r="A22" s="31"/>
      <c r="B22" s="31"/>
      <c r="C22" s="31"/>
      <c r="D22" s="31"/>
      <c r="E22" s="31"/>
      <c r="F22" s="31"/>
      <c r="G22" s="31"/>
      <c r="H22" s="31"/>
      <c r="I22" s="31"/>
    </row>
    <row r="23" spans="1:9" ht="21.75" customHeight="1" x14ac:dyDescent="0.3">
      <c r="A23" s="31"/>
      <c r="B23" s="31"/>
      <c r="C23" s="31"/>
      <c r="D23" s="31"/>
      <c r="E23" s="31"/>
      <c r="F23" s="31"/>
      <c r="G23" s="31"/>
      <c r="H23" s="31"/>
      <c r="I23" s="31"/>
    </row>
    <row r="24" spans="1:9" ht="21.75" customHeight="1" x14ac:dyDescent="0.3">
      <c r="A24" s="31"/>
      <c r="B24" s="31"/>
      <c r="C24" s="31"/>
      <c r="D24" s="31"/>
      <c r="E24" s="31"/>
      <c r="F24" s="31"/>
      <c r="G24" s="31"/>
      <c r="H24" s="31"/>
      <c r="I24" s="31"/>
    </row>
    <row r="25" spans="1:9" ht="21.75" customHeight="1" x14ac:dyDescent="0.3">
      <c r="A25" s="31"/>
      <c r="B25" s="31"/>
      <c r="C25" s="31"/>
      <c r="D25" s="31"/>
      <c r="E25" s="31"/>
      <c r="F25" s="31"/>
      <c r="G25" s="31"/>
      <c r="H25" s="31"/>
      <c r="I25" s="31"/>
    </row>
    <row r="26" spans="1:9" ht="21.75" customHeight="1" x14ac:dyDescent="0.3">
      <c r="A26" s="31"/>
      <c r="B26" s="31"/>
      <c r="C26" s="31"/>
      <c r="D26" s="31"/>
      <c r="E26" s="31"/>
      <c r="F26" s="31"/>
      <c r="G26" s="31"/>
      <c r="H26" s="31"/>
      <c r="I26" s="31"/>
    </row>
    <row r="27" spans="1:9" ht="21.75" customHeight="1" x14ac:dyDescent="0.3">
      <c r="A27" s="31"/>
      <c r="B27" s="31"/>
      <c r="C27" s="31"/>
      <c r="D27" s="31"/>
      <c r="E27" s="31"/>
      <c r="F27" s="31"/>
      <c r="G27" s="31"/>
      <c r="H27" s="31"/>
      <c r="I27" s="31"/>
    </row>
    <row r="28" spans="1:9" ht="21.75" customHeight="1" x14ac:dyDescent="0.3">
      <c r="A28" s="31"/>
      <c r="B28" s="31"/>
      <c r="C28" s="31"/>
      <c r="D28" s="31"/>
      <c r="E28" s="31"/>
      <c r="F28" s="31"/>
      <c r="G28" s="31"/>
      <c r="H28" s="31"/>
      <c r="I28" s="31"/>
    </row>
    <row r="29" spans="1:9" ht="21.75" customHeight="1" x14ac:dyDescent="0.3">
      <c r="A29" s="31"/>
      <c r="B29" s="31"/>
      <c r="C29" s="31"/>
      <c r="D29" s="31"/>
      <c r="E29" s="31"/>
      <c r="F29" s="31"/>
      <c r="G29" s="31"/>
      <c r="H29" s="31"/>
      <c r="I29" s="31"/>
    </row>
    <row r="30" spans="1:9" ht="21.75" customHeight="1" x14ac:dyDescent="0.3">
      <c r="A30" s="31"/>
      <c r="B30" s="31"/>
      <c r="C30" s="31"/>
      <c r="D30" s="31"/>
      <c r="E30" s="31"/>
      <c r="F30" s="31"/>
      <c r="G30" s="31"/>
      <c r="H30" s="31"/>
      <c r="I30" s="31"/>
    </row>
    <row r="31" spans="1:9" ht="21.75" customHeight="1" x14ac:dyDescent="0.3">
      <c r="A31" s="31"/>
      <c r="B31" s="31"/>
      <c r="C31" s="31"/>
      <c r="D31" s="31"/>
      <c r="E31" s="31"/>
      <c r="F31" s="31"/>
      <c r="G31" s="31"/>
      <c r="H31" s="31"/>
      <c r="I31" s="31"/>
    </row>
    <row r="32" spans="1:9" ht="21.75" customHeight="1" x14ac:dyDescent="0.3">
      <c r="A32" s="31"/>
      <c r="B32" s="31"/>
      <c r="C32" s="31"/>
      <c r="D32" s="31"/>
      <c r="E32" s="31"/>
      <c r="F32" s="31"/>
      <c r="G32" s="31"/>
      <c r="H32" s="31"/>
      <c r="I32" s="31"/>
    </row>
    <row r="33" spans="1:9" ht="21.75" customHeight="1" x14ac:dyDescent="0.3">
      <c r="A33" s="31"/>
      <c r="B33" s="31"/>
      <c r="C33" s="31"/>
      <c r="D33" s="31"/>
      <c r="E33" s="31"/>
      <c r="F33" s="31"/>
      <c r="G33" s="31"/>
      <c r="H33" s="31"/>
      <c r="I33" s="31"/>
    </row>
    <row r="34" spans="1:9" ht="21.75" customHeight="1" x14ac:dyDescent="0.3">
      <c r="A34" s="31"/>
      <c r="B34" s="31"/>
      <c r="C34" s="31"/>
      <c r="D34" s="31"/>
      <c r="E34" s="31"/>
      <c r="F34" s="31"/>
      <c r="G34" s="31"/>
      <c r="H34" s="31"/>
      <c r="I34" s="31"/>
    </row>
    <row r="35" spans="1:9" ht="21.75" customHeight="1" x14ac:dyDescent="0.3">
      <c r="A35" s="31"/>
      <c r="B35" s="31"/>
      <c r="C35" s="31"/>
      <c r="D35" s="31"/>
      <c r="E35" s="31"/>
      <c r="F35" s="31"/>
      <c r="G35" s="31"/>
      <c r="H35" s="31"/>
      <c r="I35" s="31"/>
    </row>
    <row r="36" spans="1:9" ht="21.75" customHeight="1" x14ac:dyDescent="0.3">
      <c r="A36" s="31"/>
      <c r="B36" s="31"/>
      <c r="C36" s="31"/>
      <c r="D36" s="31"/>
      <c r="E36" s="31"/>
      <c r="F36" s="31"/>
      <c r="G36" s="31"/>
      <c r="H36" s="31"/>
      <c r="I36" s="31"/>
    </row>
    <row r="37" spans="1:9" ht="21.75" customHeight="1" x14ac:dyDescent="0.3">
      <c r="A37" s="31"/>
      <c r="B37" s="31"/>
      <c r="C37" s="31"/>
      <c r="D37" s="31"/>
      <c r="E37" s="31"/>
      <c r="F37" s="31"/>
      <c r="G37" s="31"/>
      <c r="H37" s="31"/>
      <c r="I37" s="31"/>
    </row>
    <row r="38" spans="1:9" ht="21.75" customHeight="1" x14ac:dyDescent="0.3">
      <c r="A38" s="31"/>
      <c r="B38" s="31"/>
      <c r="C38" s="31"/>
      <c r="D38" s="31"/>
      <c r="E38" s="31"/>
      <c r="F38" s="31"/>
      <c r="G38" s="31"/>
      <c r="H38" s="31"/>
      <c r="I38" s="31"/>
    </row>
    <row r="39" spans="1:9" ht="21.75" customHeight="1" x14ac:dyDescent="0.3">
      <c r="A39" s="31"/>
      <c r="B39" s="31"/>
      <c r="C39" s="31"/>
      <c r="D39" s="31"/>
      <c r="E39" s="31"/>
      <c r="F39" s="31"/>
      <c r="G39" s="31"/>
      <c r="H39" s="31"/>
      <c r="I39" s="31"/>
    </row>
    <row r="40" spans="1:9" ht="21.75" customHeight="1" x14ac:dyDescent="0.3">
      <c r="A40" s="31"/>
      <c r="B40" s="31"/>
      <c r="C40" s="31"/>
      <c r="D40" s="31"/>
      <c r="E40" s="31"/>
      <c r="F40" s="31"/>
      <c r="G40" s="31"/>
      <c r="H40" s="31"/>
      <c r="I40" s="31"/>
    </row>
    <row r="41" spans="1:9" ht="21.75" customHeight="1" x14ac:dyDescent="0.3">
      <c r="A41" s="31"/>
      <c r="B41" s="31"/>
      <c r="C41" s="31"/>
      <c r="D41" s="31"/>
      <c r="E41" s="31"/>
      <c r="F41" s="31"/>
      <c r="G41" s="31"/>
      <c r="H41" s="31"/>
      <c r="I41" s="31"/>
    </row>
    <row r="42" spans="1:9" ht="21.75" customHeight="1" x14ac:dyDescent="0.3">
      <c r="A42" s="31"/>
      <c r="B42" s="31"/>
      <c r="C42" s="31"/>
      <c r="D42" s="31"/>
      <c r="E42" s="31"/>
      <c r="F42" s="31"/>
      <c r="G42" s="31"/>
      <c r="H42" s="31"/>
      <c r="I42" s="31"/>
    </row>
    <row r="43" spans="1:9" ht="21.75" customHeight="1" x14ac:dyDescent="0.3">
      <c r="A43" s="31"/>
      <c r="B43" s="31"/>
      <c r="C43" s="31"/>
      <c r="D43" s="31"/>
      <c r="E43" s="31"/>
      <c r="F43" s="31"/>
      <c r="G43" s="31"/>
      <c r="H43" s="31"/>
      <c r="I43" s="31"/>
    </row>
    <row r="44" spans="1:9" ht="21.75" customHeight="1" x14ac:dyDescent="0.3">
      <c r="A44" s="31"/>
      <c r="B44" s="31"/>
      <c r="C44" s="31"/>
      <c r="D44" s="31"/>
      <c r="E44" s="31"/>
      <c r="F44" s="31"/>
      <c r="G44" s="31"/>
      <c r="H44" s="31"/>
      <c r="I44" s="31"/>
    </row>
    <row r="45" spans="1:9" ht="21.75" customHeight="1" x14ac:dyDescent="0.3">
      <c r="A45" s="31"/>
      <c r="B45" s="31"/>
      <c r="C45" s="31"/>
      <c r="D45" s="31"/>
      <c r="E45" s="31"/>
      <c r="F45" s="31"/>
      <c r="G45" s="31"/>
      <c r="H45" s="31"/>
      <c r="I45" s="31"/>
    </row>
    <row r="46" spans="1:9" ht="21.75" customHeight="1" x14ac:dyDescent="0.3">
      <c r="A46" s="31"/>
      <c r="B46" s="31"/>
      <c r="C46" s="31"/>
      <c r="D46" s="31"/>
      <c r="E46" s="31"/>
      <c r="F46" s="31"/>
      <c r="G46" s="31"/>
      <c r="H46" s="31"/>
      <c r="I46" s="31"/>
    </row>
    <row r="47" spans="1:9" ht="21.75" customHeight="1" x14ac:dyDescent="0.3">
      <c r="A47" s="31"/>
      <c r="B47" s="31"/>
      <c r="C47" s="31"/>
      <c r="D47" s="31"/>
      <c r="E47" s="31"/>
      <c r="F47" s="31"/>
      <c r="G47" s="31"/>
      <c r="H47" s="31"/>
      <c r="I47" s="31"/>
    </row>
    <row r="48" spans="1:9" ht="21.75" customHeight="1" x14ac:dyDescent="0.3">
      <c r="A48" s="31"/>
      <c r="B48" s="31"/>
      <c r="C48" s="31"/>
      <c r="D48" s="31"/>
      <c r="E48" s="31"/>
      <c r="F48" s="31"/>
      <c r="G48" s="31"/>
      <c r="H48" s="31"/>
      <c r="I48" s="31"/>
    </row>
    <row r="49" spans="1:9" ht="21.75" customHeight="1" x14ac:dyDescent="0.3">
      <c r="A49" s="31"/>
      <c r="B49" s="31"/>
      <c r="C49" s="31"/>
      <c r="D49" s="31"/>
      <c r="E49" s="31"/>
      <c r="F49" s="31"/>
      <c r="G49" s="31"/>
      <c r="H49" s="31"/>
      <c r="I49" s="31"/>
    </row>
    <row r="50" spans="1:9" ht="21.75" customHeight="1" x14ac:dyDescent="0.3">
      <c r="A50" s="31"/>
      <c r="B50" s="31"/>
      <c r="C50" s="31"/>
      <c r="D50" s="31"/>
      <c r="E50" s="31"/>
      <c r="F50" s="31"/>
      <c r="G50" s="31"/>
      <c r="H50" s="31"/>
      <c r="I50" s="31"/>
    </row>
    <row r="51" spans="1:9" ht="21.75" customHeight="1" x14ac:dyDescent="0.3">
      <c r="A51" s="31"/>
      <c r="B51" s="31"/>
      <c r="C51" s="31"/>
      <c r="D51" s="31"/>
      <c r="E51" s="31"/>
      <c r="F51" s="31"/>
      <c r="G51" s="31"/>
      <c r="H51" s="31"/>
      <c r="I51" s="31"/>
    </row>
    <row r="52" spans="1:9" ht="21.75" customHeight="1" x14ac:dyDescent="0.3">
      <c r="A52" s="31"/>
      <c r="B52" s="31"/>
      <c r="C52" s="31"/>
      <c r="D52" s="31"/>
      <c r="E52" s="31"/>
      <c r="F52" s="31"/>
      <c r="G52" s="31"/>
      <c r="H52" s="31"/>
      <c r="I52" s="31"/>
    </row>
    <row r="53" spans="1:9" ht="21.75" customHeight="1" x14ac:dyDescent="0.3">
      <c r="A53" s="31"/>
      <c r="B53" s="31"/>
      <c r="C53" s="31"/>
      <c r="D53" s="31"/>
      <c r="E53" s="31"/>
      <c r="F53" s="31"/>
      <c r="G53" s="31"/>
      <c r="H53" s="31"/>
      <c r="I53" s="31"/>
    </row>
    <row r="54" spans="1:9" ht="21.75" customHeight="1" x14ac:dyDescent="0.3">
      <c r="A54" s="31"/>
      <c r="B54" s="31"/>
      <c r="C54" s="31"/>
      <c r="D54" s="31"/>
      <c r="E54" s="31"/>
      <c r="F54" s="31"/>
      <c r="G54" s="31"/>
      <c r="H54" s="31"/>
      <c r="I54" s="31"/>
    </row>
    <row r="55" spans="1:9" ht="21.75" customHeight="1" x14ac:dyDescent="0.3">
      <c r="A55" s="31"/>
      <c r="B55" s="31"/>
      <c r="C55" s="31"/>
      <c r="D55" s="31"/>
      <c r="E55" s="31"/>
      <c r="F55" s="31"/>
      <c r="G55" s="31"/>
      <c r="H55" s="31"/>
      <c r="I55" s="31"/>
    </row>
    <row r="56" spans="1:9" ht="21.75" customHeight="1" x14ac:dyDescent="0.3">
      <c r="A56" s="31"/>
      <c r="B56" s="31"/>
      <c r="C56" s="31"/>
      <c r="D56" s="31"/>
      <c r="E56" s="31"/>
      <c r="F56" s="31"/>
      <c r="G56" s="31"/>
      <c r="H56" s="31"/>
      <c r="I56" s="31"/>
    </row>
    <row r="57" spans="1:9" ht="21.75" customHeight="1" x14ac:dyDescent="0.3">
      <c r="A57" s="31"/>
      <c r="B57" s="31"/>
      <c r="C57" s="31"/>
      <c r="D57" s="31"/>
      <c r="E57" s="31"/>
      <c r="F57" s="31"/>
      <c r="G57" s="31"/>
      <c r="H57" s="31"/>
      <c r="I57" s="31"/>
    </row>
    <row r="58" spans="1:9" ht="21.75" customHeight="1" x14ac:dyDescent="0.3">
      <c r="A58" s="31"/>
      <c r="B58" s="31"/>
      <c r="C58" s="31"/>
      <c r="D58" s="31"/>
      <c r="E58" s="31"/>
      <c r="F58" s="31"/>
      <c r="G58" s="31"/>
      <c r="H58" s="31"/>
      <c r="I58" s="31"/>
    </row>
    <row r="59" spans="1:9" ht="21.75" customHeight="1" x14ac:dyDescent="0.3">
      <c r="A59" s="31"/>
      <c r="B59" s="31"/>
      <c r="C59" s="31"/>
      <c r="D59" s="31"/>
      <c r="E59" s="31"/>
      <c r="F59" s="31"/>
      <c r="G59" s="31"/>
      <c r="H59" s="31"/>
      <c r="I59" s="31"/>
    </row>
    <row r="60" spans="1:9" ht="21.75" customHeight="1" x14ac:dyDescent="0.3">
      <c r="A60" s="31"/>
      <c r="B60" s="31"/>
      <c r="C60" s="31"/>
      <c r="D60" s="31"/>
      <c r="E60" s="31"/>
      <c r="F60" s="31"/>
      <c r="G60" s="31"/>
      <c r="H60" s="31"/>
      <c r="I60" s="31"/>
    </row>
    <row r="61" spans="1:9" ht="21.75" customHeight="1" x14ac:dyDescent="0.3">
      <c r="A61" s="31"/>
      <c r="B61" s="31"/>
      <c r="C61" s="31"/>
      <c r="D61" s="31"/>
      <c r="E61" s="31"/>
      <c r="F61" s="31"/>
      <c r="G61" s="31"/>
      <c r="H61" s="31"/>
      <c r="I61" s="31"/>
    </row>
    <row r="62" spans="1:9" ht="21.75" customHeight="1" x14ac:dyDescent="0.3">
      <c r="A62" s="31"/>
      <c r="B62" s="31"/>
      <c r="C62" s="31"/>
      <c r="D62" s="31"/>
      <c r="E62" s="31"/>
      <c r="F62" s="31"/>
      <c r="G62" s="31"/>
      <c r="H62" s="31"/>
      <c r="I62" s="31"/>
    </row>
    <row r="63" spans="1:9" ht="21.75" customHeight="1" x14ac:dyDescent="0.3">
      <c r="A63" s="31"/>
      <c r="B63" s="31"/>
      <c r="C63" s="31"/>
      <c r="D63" s="31"/>
      <c r="E63" s="31"/>
      <c r="F63" s="31"/>
      <c r="G63" s="31"/>
      <c r="H63" s="31"/>
      <c r="I63" s="31"/>
    </row>
    <row r="64" spans="1:9" ht="21.75" customHeight="1" x14ac:dyDescent="0.3">
      <c r="A64" s="31"/>
      <c r="B64" s="31"/>
      <c r="C64" s="31"/>
      <c r="D64" s="31"/>
      <c r="E64" s="31"/>
      <c r="F64" s="31"/>
      <c r="G64" s="31"/>
      <c r="H64" s="31"/>
      <c r="I64" s="31"/>
    </row>
    <row r="65" spans="1:9" ht="21.75" customHeight="1" x14ac:dyDescent="0.3">
      <c r="A65" s="31"/>
      <c r="B65" s="31"/>
      <c r="C65" s="31"/>
      <c r="D65" s="31"/>
      <c r="E65" s="31"/>
      <c r="F65" s="31"/>
      <c r="G65" s="31"/>
      <c r="H65" s="31"/>
      <c r="I65" s="31"/>
    </row>
    <row r="66" spans="1:9" ht="21.75" customHeight="1" x14ac:dyDescent="0.3">
      <c r="A66" s="31"/>
      <c r="B66" s="31"/>
      <c r="C66" s="31"/>
      <c r="D66" s="31"/>
      <c r="E66" s="31"/>
      <c r="F66" s="31"/>
      <c r="G66" s="31"/>
      <c r="H66" s="31"/>
      <c r="I66" s="31"/>
    </row>
    <row r="67" spans="1:9" ht="21.75" customHeight="1" x14ac:dyDescent="0.3">
      <c r="A67" s="31"/>
      <c r="B67" s="31"/>
      <c r="C67" s="31"/>
      <c r="D67" s="31"/>
      <c r="E67" s="31"/>
      <c r="F67" s="31"/>
      <c r="G67" s="31"/>
      <c r="H67" s="31"/>
      <c r="I67" s="31"/>
    </row>
    <row r="68" spans="1:9" ht="21.75" customHeight="1" x14ac:dyDescent="0.3">
      <c r="A68" s="31"/>
      <c r="B68" s="31"/>
      <c r="C68" s="31"/>
      <c r="D68" s="31"/>
      <c r="E68" s="31"/>
      <c r="F68" s="31"/>
      <c r="G68" s="31"/>
      <c r="H68" s="31"/>
      <c r="I68" s="31"/>
    </row>
    <row r="69" spans="1:9" ht="21.75" customHeight="1" x14ac:dyDescent="0.3">
      <c r="A69" s="31"/>
      <c r="B69" s="31"/>
      <c r="C69" s="31"/>
      <c r="D69" s="31"/>
      <c r="E69" s="31"/>
      <c r="F69" s="31"/>
      <c r="G69" s="31"/>
      <c r="H69" s="31"/>
      <c r="I69" s="31"/>
    </row>
    <row r="70" spans="1:9" ht="21.75" customHeight="1" x14ac:dyDescent="0.3">
      <c r="A70" s="31"/>
      <c r="B70" s="31"/>
      <c r="C70" s="31"/>
      <c r="D70" s="31"/>
      <c r="E70" s="31"/>
      <c r="F70" s="31"/>
      <c r="G70" s="31"/>
      <c r="H70" s="31"/>
      <c r="I70" s="31"/>
    </row>
    <row r="71" spans="1:9" ht="21.75" customHeight="1" x14ac:dyDescent="0.3">
      <c r="A71" s="31"/>
      <c r="B71" s="31"/>
      <c r="C71" s="31"/>
      <c r="D71" s="31"/>
      <c r="E71" s="31"/>
      <c r="F71" s="31"/>
      <c r="G71" s="31"/>
      <c r="H71" s="31"/>
      <c r="I71" s="31"/>
    </row>
    <row r="72" spans="1:9" ht="21.75" customHeight="1" x14ac:dyDescent="0.3">
      <c r="A72" s="31"/>
      <c r="B72" s="31"/>
      <c r="C72" s="31"/>
      <c r="D72" s="31"/>
      <c r="E72" s="31"/>
      <c r="F72" s="31"/>
      <c r="G72" s="31"/>
      <c r="H72" s="31"/>
      <c r="I72" s="31"/>
    </row>
    <row r="73" spans="1:9" ht="21.75" customHeight="1" x14ac:dyDescent="0.3">
      <c r="A73" s="31"/>
      <c r="B73" s="31"/>
      <c r="C73" s="31"/>
      <c r="D73" s="31"/>
      <c r="E73" s="31"/>
      <c r="F73" s="31"/>
      <c r="G73" s="31"/>
      <c r="H73" s="31"/>
      <c r="I73" s="31"/>
    </row>
    <row r="74" spans="1:9" ht="21.75" customHeight="1" x14ac:dyDescent="0.3">
      <c r="A74" s="31"/>
      <c r="B74" s="31"/>
      <c r="C74" s="31"/>
      <c r="D74" s="31"/>
      <c r="E74" s="31"/>
      <c r="F74" s="31"/>
      <c r="G74" s="31"/>
      <c r="H74" s="31"/>
      <c r="I74" s="31"/>
    </row>
    <row r="75" spans="1:9" ht="21.75" customHeight="1" x14ac:dyDescent="0.3">
      <c r="A75" s="31"/>
      <c r="B75" s="31"/>
      <c r="C75" s="31"/>
      <c r="D75" s="31"/>
      <c r="E75" s="31"/>
      <c r="F75" s="31"/>
      <c r="G75" s="31"/>
      <c r="H75" s="31"/>
      <c r="I75" s="31"/>
    </row>
    <row r="76" spans="1:9" ht="21.75" customHeight="1" x14ac:dyDescent="0.3">
      <c r="A76" s="31"/>
      <c r="B76" s="31"/>
      <c r="C76" s="31"/>
      <c r="D76" s="31"/>
      <c r="E76" s="31"/>
      <c r="F76" s="31"/>
      <c r="G76" s="31"/>
      <c r="H76" s="31"/>
      <c r="I76" s="31"/>
    </row>
    <row r="77" spans="1:9" ht="21.75" customHeight="1" x14ac:dyDescent="0.3">
      <c r="A77" s="31"/>
      <c r="B77" s="31"/>
      <c r="C77" s="31"/>
      <c r="D77" s="31"/>
      <c r="E77" s="31"/>
      <c r="F77" s="31"/>
      <c r="G77" s="31"/>
      <c r="H77" s="31"/>
      <c r="I77" s="31"/>
    </row>
    <row r="78" spans="1:9" ht="21.75" customHeight="1" x14ac:dyDescent="0.3">
      <c r="A78" s="31"/>
      <c r="B78" s="31"/>
      <c r="C78" s="31"/>
      <c r="D78" s="31"/>
      <c r="E78" s="31"/>
      <c r="F78" s="31"/>
      <c r="G78" s="31"/>
      <c r="H78" s="31"/>
      <c r="I78" s="31"/>
    </row>
    <row r="79" spans="1:9" ht="21.75" customHeight="1" x14ac:dyDescent="0.3">
      <c r="A79" s="31"/>
      <c r="B79" s="31"/>
      <c r="C79" s="31"/>
      <c r="D79" s="31"/>
      <c r="E79" s="31"/>
      <c r="F79" s="31"/>
      <c r="G79" s="31"/>
      <c r="H79" s="31"/>
      <c r="I79" s="31"/>
    </row>
    <row r="80" spans="1:9" ht="21.75" customHeight="1" x14ac:dyDescent="0.3">
      <c r="A80" s="31"/>
      <c r="B80" s="31"/>
      <c r="C80" s="31"/>
      <c r="D80" s="31"/>
      <c r="E80" s="31"/>
      <c r="F80" s="31"/>
      <c r="G80" s="31"/>
      <c r="H80" s="31"/>
      <c r="I80" s="31"/>
    </row>
    <row r="81" spans="1:9" ht="21.75" customHeight="1" x14ac:dyDescent="0.3">
      <c r="A81" s="31"/>
      <c r="B81" s="31"/>
      <c r="C81" s="31"/>
      <c r="D81" s="31"/>
      <c r="E81" s="31"/>
      <c r="F81" s="31"/>
      <c r="G81" s="31"/>
      <c r="H81" s="31"/>
      <c r="I81" s="31"/>
    </row>
    <row r="82" spans="1:9" ht="21.75" customHeight="1" x14ac:dyDescent="0.3">
      <c r="A82" s="31"/>
      <c r="B82" s="31"/>
      <c r="C82" s="31"/>
      <c r="D82" s="31"/>
      <c r="E82" s="31"/>
      <c r="F82" s="31"/>
      <c r="G82" s="31"/>
      <c r="H82" s="31"/>
      <c r="I82" s="31"/>
    </row>
    <row r="83" spans="1:9" ht="21.75" customHeight="1" x14ac:dyDescent="0.3">
      <c r="A83" s="31"/>
      <c r="B83" s="31"/>
      <c r="C83" s="31"/>
      <c r="D83" s="31"/>
      <c r="E83" s="31"/>
      <c r="F83" s="31"/>
      <c r="G83" s="31"/>
      <c r="H83" s="31"/>
      <c r="I83" s="31"/>
    </row>
    <row r="84" spans="1:9" ht="21.75" customHeight="1" x14ac:dyDescent="0.3">
      <c r="A84" s="31"/>
      <c r="B84" s="31"/>
      <c r="C84" s="31"/>
      <c r="D84" s="31"/>
      <c r="E84" s="31"/>
      <c r="F84" s="31"/>
      <c r="G84" s="31"/>
      <c r="H84" s="31"/>
      <c r="I84" s="31"/>
    </row>
    <row r="85" spans="1:9" ht="21.75" customHeight="1" x14ac:dyDescent="0.3">
      <c r="A85" s="31"/>
      <c r="B85" s="31"/>
      <c r="C85" s="31"/>
      <c r="D85" s="31"/>
      <c r="E85" s="31"/>
      <c r="F85" s="31"/>
      <c r="G85" s="31"/>
      <c r="H85" s="31"/>
      <c r="I85" s="31"/>
    </row>
    <row r="86" spans="1:9" ht="21.75" customHeight="1" x14ac:dyDescent="0.3">
      <c r="A86" s="31"/>
      <c r="B86" s="31"/>
      <c r="C86" s="31"/>
      <c r="D86" s="31"/>
      <c r="E86" s="31"/>
      <c r="F86" s="31"/>
      <c r="G86" s="31"/>
      <c r="H86" s="31"/>
      <c r="I86" s="31"/>
    </row>
    <row r="87" spans="1:9" ht="21.75" customHeight="1" x14ac:dyDescent="0.3">
      <c r="A87" s="31"/>
      <c r="B87" s="31"/>
      <c r="C87" s="31"/>
      <c r="D87" s="31"/>
      <c r="E87" s="31"/>
      <c r="F87" s="31"/>
      <c r="G87" s="31"/>
      <c r="H87" s="31"/>
      <c r="I87" s="31"/>
    </row>
    <row r="88" spans="1:9" ht="21.75" customHeight="1" x14ac:dyDescent="0.3">
      <c r="A88" s="31"/>
      <c r="B88" s="31"/>
      <c r="C88" s="31"/>
      <c r="D88" s="31"/>
      <c r="E88" s="31"/>
      <c r="F88" s="31"/>
      <c r="G88" s="31"/>
      <c r="H88" s="31"/>
      <c r="I88" s="31"/>
    </row>
    <row r="89" spans="1:9" ht="21.75" customHeight="1" x14ac:dyDescent="0.3">
      <c r="A89" s="31"/>
      <c r="B89" s="31"/>
      <c r="C89" s="31"/>
      <c r="D89" s="31"/>
      <c r="E89" s="31"/>
      <c r="F89" s="31"/>
      <c r="G89" s="31"/>
      <c r="H89" s="31"/>
      <c r="I89" s="31"/>
    </row>
    <row r="90" spans="1:9" ht="21.75" customHeight="1" x14ac:dyDescent="0.3">
      <c r="A90" s="31"/>
      <c r="B90" s="31"/>
      <c r="C90" s="31"/>
      <c r="D90" s="31"/>
      <c r="E90" s="31"/>
      <c r="F90" s="31"/>
      <c r="G90" s="31"/>
      <c r="H90" s="31"/>
      <c r="I90" s="31"/>
    </row>
    <row r="91" spans="1:9" ht="21.75" customHeight="1" x14ac:dyDescent="0.3">
      <c r="A91" s="31"/>
      <c r="B91" s="31"/>
      <c r="C91" s="31"/>
      <c r="D91" s="31"/>
      <c r="E91" s="31"/>
      <c r="F91" s="31"/>
      <c r="G91" s="31"/>
      <c r="H91" s="31"/>
      <c r="I91" s="31"/>
    </row>
    <row r="92" spans="1:9" ht="21.75" customHeight="1" x14ac:dyDescent="0.3">
      <c r="A92" s="31"/>
      <c r="B92" s="31"/>
      <c r="C92" s="31"/>
      <c r="D92" s="31"/>
      <c r="E92" s="31"/>
      <c r="F92" s="31"/>
      <c r="G92" s="31"/>
      <c r="H92" s="31"/>
      <c r="I92" s="31"/>
    </row>
    <row r="93" spans="1:9" ht="21.75" customHeight="1" x14ac:dyDescent="0.3">
      <c r="A93" s="31"/>
      <c r="B93" s="31"/>
      <c r="C93" s="31"/>
      <c r="D93" s="31"/>
      <c r="E93" s="31"/>
      <c r="F93" s="31"/>
      <c r="G93" s="31"/>
      <c r="H93" s="31"/>
      <c r="I93" s="31"/>
    </row>
    <row r="94" spans="1:9" ht="21.75" customHeight="1" x14ac:dyDescent="0.3">
      <c r="A94" s="31"/>
      <c r="B94" s="31"/>
      <c r="C94" s="31"/>
      <c r="D94" s="31"/>
      <c r="E94" s="31"/>
      <c r="F94" s="31"/>
      <c r="G94" s="31"/>
      <c r="H94" s="31"/>
      <c r="I94" s="31"/>
    </row>
    <row r="95" spans="1:9" ht="21.75" customHeight="1" x14ac:dyDescent="0.3">
      <c r="A95" s="31"/>
      <c r="B95" s="31"/>
      <c r="C95" s="31"/>
      <c r="D95" s="31"/>
      <c r="E95" s="31"/>
      <c r="F95" s="31"/>
      <c r="G95" s="31"/>
      <c r="H95" s="31"/>
      <c r="I95" s="31"/>
    </row>
    <row r="96" spans="1:9" ht="21.75" customHeight="1" x14ac:dyDescent="0.3">
      <c r="A96" s="31"/>
      <c r="B96" s="31"/>
      <c r="C96" s="31"/>
      <c r="D96" s="31"/>
      <c r="E96" s="31"/>
      <c r="F96" s="31"/>
      <c r="G96" s="31"/>
      <c r="H96" s="31"/>
      <c r="I96" s="31"/>
    </row>
    <row r="97" spans="1:9" ht="21.75" customHeight="1" x14ac:dyDescent="0.3">
      <c r="A97" s="31"/>
      <c r="B97" s="31"/>
      <c r="C97" s="31"/>
      <c r="D97" s="31"/>
      <c r="E97" s="31"/>
      <c r="F97" s="31"/>
      <c r="G97" s="31"/>
      <c r="H97" s="31"/>
      <c r="I97" s="31"/>
    </row>
    <row r="98" spans="1:9" ht="21.75" customHeight="1" x14ac:dyDescent="0.3">
      <c r="A98" s="31"/>
      <c r="B98" s="31"/>
      <c r="C98" s="31"/>
      <c r="D98" s="31"/>
      <c r="E98" s="31"/>
      <c r="F98" s="31"/>
      <c r="G98" s="31"/>
      <c r="H98" s="31"/>
      <c r="I98" s="31"/>
    </row>
    <row r="99" spans="1:9" ht="21.75" customHeight="1" x14ac:dyDescent="0.3">
      <c r="A99" s="31"/>
      <c r="B99" s="31"/>
      <c r="C99" s="31"/>
      <c r="D99" s="31"/>
      <c r="E99" s="31"/>
      <c r="F99" s="31"/>
      <c r="G99" s="31"/>
      <c r="H99" s="31"/>
      <c r="I99" s="31"/>
    </row>
    <row r="100" spans="1:9" ht="21.75" customHeight="1" x14ac:dyDescent="0.3">
      <c r="A100" s="31"/>
      <c r="B100" s="31"/>
      <c r="C100" s="31"/>
      <c r="D100" s="31"/>
      <c r="E100" s="31"/>
      <c r="F100" s="31"/>
      <c r="G100" s="31"/>
      <c r="H100" s="31"/>
      <c r="I100" s="31"/>
    </row>
    <row r="101" spans="1:9" ht="21.75" customHeight="1" x14ac:dyDescent="0.3">
      <c r="A101" s="31"/>
      <c r="B101" s="31"/>
      <c r="C101" s="31"/>
      <c r="D101" s="31"/>
      <c r="E101" s="31"/>
      <c r="F101" s="31"/>
      <c r="G101" s="31"/>
      <c r="H101" s="31"/>
      <c r="I101" s="31"/>
    </row>
    <row r="102" spans="1:9" ht="21.75" customHeight="1" x14ac:dyDescent="0.3">
      <c r="A102" s="31"/>
      <c r="B102" s="31"/>
      <c r="C102" s="31"/>
      <c r="D102" s="31"/>
      <c r="E102" s="31"/>
      <c r="F102" s="31"/>
      <c r="G102" s="31"/>
      <c r="H102" s="31"/>
      <c r="I102" s="31"/>
    </row>
    <row r="103" spans="1:9" ht="21.75" customHeight="1" x14ac:dyDescent="0.3">
      <c r="A103" s="31"/>
      <c r="B103" s="31"/>
      <c r="C103" s="31"/>
      <c r="D103" s="31"/>
      <c r="E103" s="31"/>
      <c r="F103" s="31"/>
      <c r="G103" s="31"/>
      <c r="H103" s="31"/>
      <c r="I103" s="31"/>
    </row>
    <row r="104" spans="1:9" ht="21.75" customHeight="1" x14ac:dyDescent="0.3">
      <c r="A104" s="31"/>
      <c r="B104" s="31"/>
      <c r="C104" s="31"/>
      <c r="D104" s="31"/>
      <c r="E104" s="31"/>
      <c r="F104" s="31"/>
      <c r="G104" s="31"/>
      <c r="H104" s="31"/>
      <c r="I104" s="31"/>
    </row>
    <row r="105" spans="1:9" ht="21.75" customHeight="1" x14ac:dyDescent="0.3">
      <c r="A105" s="31"/>
      <c r="B105" s="31"/>
      <c r="C105" s="31"/>
      <c r="D105" s="31"/>
      <c r="E105" s="31"/>
      <c r="F105" s="31"/>
      <c r="G105" s="31"/>
      <c r="H105" s="31"/>
      <c r="I105" s="31"/>
    </row>
    <row r="106" spans="1:9" ht="21.75" customHeight="1" x14ac:dyDescent="0.3">
      <c r="A106" s="31"/>
      <c r="B106" s="31"/>
      <c r="C106" s="31"/>
      <c r="D106" s="31"/>
      <c r="E106" s="31"/>
      <c r="F106" s="31"/>
      <c r="G106" s="31"/>
      <c r="H106" s="31"/>
      <c r="I106" s="31"/>
    </row>
    <row r="107" spans="1:9" ht="21.75" customHeight="1" x14ac:dyDescent="0.3">
      <c r="A107" s="31"/>
      <c r="B107" s="31"/>
      <c r="C107" s="31"/>
      <c r="D107" s="31"/>
      <c r="E107" s="31"/>
      <c r="F107" s="31"/>
      <c r="G107" s="31"/>
      <c r="H107" s="31"/>
      <c r="I107" s="31"/>
    </row>
    <row r="108" spans="1:9" ht="21.75" customHeight="1" x14ac:dyDescent="0.3">
      <c r="A108" s="31"/>
      <c r="B108" s="31"/>
      <c r="C108" s="31"/>
      <c r="D108" s="31"/>
      <c r="E108" s="31"/>
      <c r="F108" s="31"/>
      <c r="G108" s="31"/>
      <c r="H108" s="31"/>
      <c r="I108" s="31"/>
    </row>
    <row r="109" spans="1:9" ht="21.75" customHeight="1" x14ac:dyDescent="0.3">
      <c r="A109" s="31"/>
      <c r="B109" s="31"/>
      <c r="C109" s="31"/>
      <c r="D109" s="31"/>
      <c r="E109" s="31"/>
      <c r="F109" s="31"/>
      <c r="G109" s="31"/>
      <c r="H109" s="31"/>
      <c r="I109" s="31"/>
    </row>
    <row r="110" spans="1:9" ht="21.75" customHeight="1" x14ac:dyDescent="0.3">
      <c r="A110" s="31"/>
      <c r="B110" s="31"/>
      <c r="C110" s="31"/>
      <c r="D110" s="31"/>
      <c r="E110" s="31"/>
      <c r="F110" s="31"/>
      <c r="G110" s="31"/>
      <c r="H110" s="31"/>
      <c r="I110" s="31"/>
    </row>
    <row r="111" spans="1:9" ht="21.75" customHeight="1" x14ac:dyDescent="0.3">
      <c r="A111" s="31"/>
      <c r="B111" s="31"/>
      <c r="C111" s="31"/>
      <c r="D111" s="31"/>
      <c r="E111" s="31"/>
      <c r="F111" s="31"/>
      <c r="G111" s="31"/>
      <c r="H111" s="31"/>
      <c r="I111" s="31"/>
    </row>
    <row r="112" spans="1:9" ht="21.75" customHeight="1" x14ac:dyDescent="0.3">
      <c r="A112" s="31"/>
      <c r="B112" s="31"/>
      <c r="C112" s="31"/>
      <c r="D112" s="31"/>
      <c r="E112" s="31"/>
      <c r="F112" s="31"/>
      <c r="G112" s="31"/>
      <c r="H112" s="31"/>
      <c r="I112" s="31"/>
    </row>
    <row r="113" spans="1:9" ht="21.75" customHeight="1" x14ac:dyDescent="0.3">
      <c r="A113" s="31"/>
      <c r="B113" s="31"/>
      <c r="C113" s="31"/>
      <c r="D113" s="31"/>
      <c r="E113" s="31"/>
      <c r="F113" s="31"/>
      <c r="G113" s="31"/>
      <c r="H113" s="31"/>
      <c r="I113" s="31"/>
    </row>
    <row r="114" spans="1:9" ht="21.75" customHeight="1" x14ac:dyDescent="0.3">
      <c r="A114" s="31"/>
      <c r="B114" s="31"/>
      <c r="C114" s="31"/>
      <c r="D114" s="31"/>
      <c r="E114" s="31"/>
      <c r="F114" s="31"/>
      <c r="G114" s="31"/>
      <c r="H114" s="31"/>
      <c r="I114" s="31"/>
    </row>
    <row r="115" spans="1:9" ht="21.75" customHeight="1" x14ac:dyDescent="0.3">
      <c r="A115" s="31"/>
      <c r="B115" s="31"/>
      <c r="C115" s="31"/>
      <c r="D115" s="31"/>
      <c r="E115" s="31"/>
      <c r="F115" s="31"/>
      <c r="G115" s="31"/>
      <c r="H115" s="31"/>
      <c r="I115" s="31"/>
    </row>
    <row r="116" spans="1:9" ht="21.75" customHeight="1" x14ac:dyDescent="0.3">
      <c r="A116" s="31"/>
      <c r="B116" s="31"/>
      <c r="C116" s="31"/>
      <c r="D116" s="31"/>
      <c r="E116" s="31"/>
      <c r="F116" s="31"/>
      <c r="G116" s="31"/>
      <c r="H116" s="31"/>
      <c r="I116" s="31"/>
    </row>
    <row r="117" spans="1:9" ht="21.75" customHeight="1" x14ac:dyDescent="0.3">
      <c r="A117" s="31"/>
      <c r="B117" s="31"/>
      <c r="C117" s="31"/>
      <c r="D117" s="31"/>
      <c r="E117" s="31"/>
      <c r="F117" s="31"/>
      <c r="G117" s="31"/>
      <c r="H117" s="31"/>
      <c r="I117" s="31"/>
    </row>
    <row r="118" spans="1:9" ht="21.75" customHeight="1" x14ac:dyDescent="0.3">
      <c r="A118" s="31"/>
      <c r="B118" s="31"/>
      <c r="C118" s="31"/>
      <c r="D118" s="31"/>
      <c r="E118" s="31"/>
      <c r="F118" s="31"/>
      <c r="G118" s="31"/>
      <c r="H118" s="31"/>
      <c r="I118" s="31"/>
    </row>
    <row r="119" spans="1:9" ht="21.75" customHeight="1" x14ac:dyDescent="0.3">
      <c r="A119" s="31"/>
      <c r="B119" s="31"/>
      <c r="C119" s="31"/>
      <c r="D119" s="31"/>
      <c r="E119" s="31"/>
      <c r="F119" s="31"/>
      <c r="G119" s="31"/>
      <c r="H119" s="31"/>
      <c r="I119" s="31"/>
    </row>
    <row r="120" spans="1:9" ht="21.75" customHeight="1" x14ac:dyDescent="0.3">
      <c r="A120" s="31"/>
      <c r="B120" s="31"/>
      <c r="C120" s="31"/>
      <c r="D120" s="31"/>
      <c r="E120" s="31"/>
      <c r="F120" s="31"/>
      <c r="G120" s="31"/>
      <c r="H120" s="31"/>
      <c r="I120" s="31"/>
    </row>
    <row r="121" spans="1:9" ht="21.75" customHeight="1" x14ac:dyDescent="0.3">
      <c r="A121" s="31"/>
      <c r="B121" s="31"/>
      <c r="C121" s="31"/>
      <c r="D121" s="31"/>
      <c r="E121" s="31"/>
      <c r="F121" s="31"/>
      <c r="G121" s="31"/>
      <c r="H121" s="31"/>
      <c r="I121" s="31"/>
    </row>
    <row r="122" spans="1:9" ht="21.75" customHeight="1" x14ac:dyDescent="0.3">
      <c r="A122" s="31"/>
      <c r="B122" s="31"/>
      <c r="C122" s="31"/>
      <c r="D122" s="31"/>
      <c r="E122" s="31"/>
      <c r="F122" s="31"/>
      <c r="G122" s="31"/>
      <c r="H122" s="31"/>
      <c r="I122" s="31"/>
    </row>
    <row r="123" spans="1:9" ht="21.75" customHeight="1" x14ac:dyDescent="0.3">
      <c r="A123" s="31"/>
      <c r="B123" s="31"/>
      <c r="C123" s="31"/>
      <c r="D123" s="31"/>
      <c r="E123" s="31"/>
      <c r="F123" s="31"/>
      <c r="G123" s="31"/>
      <c r="H123" s="31"/>
      <c r="I123" s="31"/>
    </row>
    <row r="124" spans="1:9" ht="21.75" customHeight="1" x14ac:dyDescent="0.3">
      <c r="A124" s="31"/>
      <c r="B124" s="31"/>
      <c r="C124" s="31"/>
      <c r="D124" s="31"/>
      <c r="E124" s="31"/>
      <c r="F124" s="31"/>
      <c r="G124" s="31"/>
      <c r="H124" s="31"/>
      <c r="I124" s="31"/>
    </row>
    <row r="125" spans="1:9" ht="21.75" customHeight="1" x14ac:dyDescent="0.3">
      <c r="A125" s="31"/>
      <c r="B125" s="31"/>
      <c r="C125" s="31"/>
      <c r="D125" s="31"/>
      <c r="E125" s="31"/>
      <c r="F125" s="31"/>
      <c r="G125" s="31"/>
      <c r="H125" s="31"/>
      <c r="I125" s="31"/>
    </row>
    <row r="126" spans="1:9" ht="21.75" customHeight="1" x14ac:dyDescent="0.3">
      <c r="A126" s="31"/>
      <c r="B126" s="31"/>
      <c r="C126" s="31"/>
      <c r="D126" s="31"/>
      <c r="E126" s="31"/>
      <c r="F126" s="31"/>
      <c r="G126" s="31"/>
      <c r="H126" s="31"/>
      <c r="I126" s="31"/>
    </row>
    <row r="127" spans="1:9" ht="21.75" customHeight="1" x14ac:dyDescent="0.3">
      <c r="A127" s="31"/>
      <c r="B127" s="31"/>
      <c r="C127" s="31"/>
      <c r="D127" s="31"/>
      <c r="E127" s="31"/>
      <c r="F127" s="31"/>
      <c r="G127" s="31"/>
      <c r="H127" s="31"/>
      <c r="I127" s="31"/>
    </row>
    <row r="128" spans="1:9" ht="21.75" customHeight="1" x14ac:dyDescent="0.3">
      <c r="A128" s="31"/>
      <c r="B128" s="31"/>
      <c r="C128" s="31"/>
      <c r="D128" s="31"/>
      <c r="E128" s="31"/>
      <c r="F128" s="31"/>
      <c r="G128" s="31"/>
      <c r="H128" s="31"/>
      <c r="I128" s="31"/>
    </row>
    <row r="129" spans="1:9" ht="21.75" customHeight="1" x14ac:dyDescent="0.3">
      <c r="A129" s="31"/>
      <c r="B129" s="31"/>
      <c r="C129" s="31"/>
      <c r="D129" s="31"/>
      <c r="E129" s="31"/>
      <c r="F129" s="31"/>
      <c r="G129" s="31"/>
      <c r="H129" s="31"/>
      <c r="I129" s="31"/>
    </row>
    <row r="130" spans="1:9" ht="21.75" customHeight="1" x14ac:dyDescent="0.3">
      <c r="A130" s="31"/>
      <c r="B130" s="31"/>
      <c r="C130" s="31"/>
      <c r="D130" s="31"/>
      <c r="E130" s="31"/>
      <c r="F130" s="31"/>
      <c r="G130" s="31"/>
      <c r="H130" s="31"/>
      <c r="I130" s="31"/>
    </row>
    <row r="131" spans="1:9" ht="21.75" customHeight="1" x14ac:dyDescent="0.3">
      <c r="A131" s="31"/>
      <c r="B131" s="31"/>
      <c r="C131" s="31"/>
      <c r="D131" s="31"/>
      <c r="E131" s="31"/>
      <c r="F131" s="31"/>
      <c r="G131" s="31"/>
      <c r="H131" s="31"/>
      <c r="I131" s="31"/>
    </row>
    <row r="132" spans="1:9" ht="21.75" customHeight="1" x14ac:dyDescent="0.3">
      <c r="A132" s="31"/>
      <c r="B132" s="31"/>
      <c r="C132" s="31"/>
      <c r="D132" s="31"/>
      <c r="E132" s="31"/>
      <c r="F132" s="31"/>
      <c r="G132" s="31"/>
      <c r="H132" s="31"/>
      <c r="I132" s="31"/>
    </row>
    <row r="133" spans="1:9" ht="21.75" customHeight="1" x14ac:dyDescent="0.3">
      <c r="A133" s="31"/>
      <c r="B133" s="31"/>
      <c r="C133" s="31"/>
      <c r="D133" s="31"/>
      <c r="E133" s="31"/>
      <c r="F133" s="31"/>
      <c r="G133" s="31"/>
      <c r="H133" s="31"/>
      <c r="I133" s="31"/>
    </row>
    <row r="134" spans="1:9" ht="21.75" customHeight="1" x14ac:dyDescent="0.3">
      <c r="A134" s="31"/>
      <c r="B134" s="31"/>
      <c r="C134" s="31"/>
      <c r="D134" s="31"/>
      <c r="E134" s="31"/>
      <c r="F134" s="31"/>
      <c r="G134" s="31"/>
      <c r="H134" s="31"/>
      <c r="I134" s="31"/>
    </row>
    <row r="135" spans="1:9" ht="21.75" customHeight="1" x14ac:dyDescent="0.3">
      <c r="A135" s="31"/>
      <c r="B135" s="31"/>
      <c r="C135" s="31"/>
      <c r="D135" s="31"/>
      <c r="E135" s="31"/>
      <c r="F135" s="31"/>
      <c r="G135" s="31"/>
      <c r="H135" s="31"/>
      <c r="I135" s="31"/>
    </row>
    <row r="136" spans="1:9" ht="21.75" customHeight="1" x14ac:dyDescent="0.3">
      <c r="A136" s="31"/>
      <c r="B136" s="31"/>
      <c r="C136" s="31"/>
      <c r="D136" s="31"/>
      <c r="E136" s="31"/>
      <c r="F136" s="31"/>
      <c r="G136" s="31"/>
      <c r="H136" s="31"/>
      <c r="I136" s="31"/>
    </row>
    <row r="137" spans="1:9" ht="21.75" customHeight="1" x14ac:dyDescent="0.3">
      <c r="A137" s="31"/>
      <c r="B137" s="31"/>
      <c r="C137" s="31"/>
      <c r="D137" s="31"/>
      <c r="E137" s="31"/>
      <c r="F137" s="31"/>
      <c r="G137" s="31"/>
      <c r="H137" s="31"/>
      <c r="I137" s="31"/>
    </row>
    <row r="138" spans="1:9" ht="21.75" customHeight="1" x14ac:dyDescent="0.3">
      <c r="A138" s="31"/>
      <c r="B138" s="31"/>
      <c r="C138" s="31"/>
      <c r="D138" s="31"/>
      <c r="E138" s="31"/>
      <c r="F138" s="31"/>
      <c r="G138" s="31"/>
      <c r="H138" s="31"/>
      <c r="I138" s="31"/>
    </row>
    <row r="139" spans="1:9" ht="21.75" customHeight="1" x14ac:dyDescent="0.3">
      <c r="A139" s="31"/>
      <c r="B139" s="31"/>
      <c r="C139" s="31"/>
      <c r="D139" s="31"/>
      <c r="E139" s="31"/>
      <c r="F139" s="31"/>
      <c r="G139" s="31"/>
      <c r="H139" s="31"/>
      <c r="I139" s="31"/>
    </row>
    <row r="140" spans="1:9" ht="21.75" customHeight="1" x14ac:dyDescent="0.3">
      <c r="A140" s="31"/>
      <c r="B140" s="31"/>
      <c r="C140" s="31"/>
      <c r="D140" s="31"/>
      <c r="E140" s="31"/>
      <c r="F140" s="31"/>
      <c r="G140" s="31"/>
      <c r="H140" s="31"/>
      <c r="I140" s="31"/>
    </row>
    <row r="141" spans="1:9" ht="21.75" customHeight="1" x14ac:dyDescent="0.3">
      <c r="A141" s="31"/>
      <c r="B141" s="31"/>
      <c r="C141" s="31"/>
      <c r="D141" s="31"/>
      <c r="E141" s="31"/>
      <c r="F141" s="31"/>
      <c r="G141" s="31"/>
      <c r="H141" s="31"/>
      <c r="I141" s="31"/>
    </row>
    <row r="142" spans="1:9" ht="21.75" customHeight="1" x14ac:dyDescent="0.3">
      <c r="A142" s="31"/>
      <c r="B142" s="31"/>
      <c r="C142" s="31"/>
      <c r="D142" s="31"/>
      <c r="E142" s="31"/>
      <c r="F142" s="31"/>
      <c r="G142" s="31"/>
      <c r="H142" s="31"/>
      <c r="I142" s="31"/>
    </row>
    <row r="143" spans="1:9" ht="21.75" customHeight="1" x14ac:dyDescent="0.3">
      <c r="A143" s="31"/>
      <c r="B143" s="31"/>
      <c r="C143" s="31"/>
      <c r="D143" s="31"/>
      <c r="E143" s="31"/>
      <c r="F143" s="31"/>
      <c r="G143" s="31"/>
      <c r="H143" s="31"/>
      <c r="I143" s="31"/>
    </row>
    <row r="144" spans="1:9" ht="21.75" customHeight="1" x14ac:dyDescent="0.3">
      <c r="A144" s="31"/>
      <c r="B144" s="31"/>
      <c r="C144" s="31"/>
      <c r="D144" s="31"/>
      <c r="E144" s="31"/>
      <c r="F144" s="31"/>
      <c r="G144" s="31"/>
      <c r="H144" s="31"/>
      <c r="I144" s="31"/>
    </row>
    <row r="145" spans="1:9" ht="21.75" customHeight="1" x14ac:dyDescent="0.3">
      <c r="A145" s="31"/>
      <c r="B145" s="31"/>
      <c r="C145" s="31"/>
      <c r="D145" s="31"/>
      <c r="E145" s="31"/>
      <c r="F145" s="31"/>
      <c r="G145" s="31"/>
      <c r="H145" s="31"/>
      <c r="I145" s="31"/>
    </row>
    <row r="146" spans="1:9" ht="21.75" customHeight="1" x14ac:dyDescent="0.3">
      <c r="A146" s="31"/>
      <c r="B146" s="31"/>
      <c r="C146" s="31"/>
      <c r="D146" s="31"/>
      <c r="E146" s="31"/>
      <c r="F146" s="31"/>
      <c r="G146" s="31"/>
      <c r="H146" s="31"/>
      <c r="I146" s="31"/>
    </row>
    <row r="147" spans="1:9" ht="21.75" customHeight="1" x14ac:dyDescent="0.3">
      <c r="A147" s="31"/>
      <c r="B147" s="31"/>
      <c r="C147" s="31"/>
      <c r="D147" s="31"/>
      <c r="E147" s="31"/>
      <c r="F147" s="31"/>
      <c r="G147" s="31"/>
      <c r="H147" s="31"/>
      <c r="I147" s="31"/>
    </row>
    <row r="148" spans="1:9" ht="21.75" customHeight="1" x14ac:dyDescent="0.3">
      <c r="A148" s="31"/>
      <c r="B148" s="31"/>
      <c r="C148" s="31"/>
      <c r="D148" s="31"/>
      <c r="E148" s="31"/>
      <c r="F148" s="31"/>
      <c r="G148" s="31"/>
      <c r="H148" s="31"/>
      <c r="I148" s="31"/>
    </row>
    <row r="149" spans="1:9" ht="21.75" customHeight="1" x14ac:dyDescent="0.3">
      <c r="A149" s="31"/>
      <c r="B149" s="31"/>
      <c r="C149" s="31"/>
      <c r="D149" s="31"/>
      <c r="E149" s="31"/>
      <c r="F149" s="31"/>
      <c r="G149" s="31"/>
      <c r="H149" s="31"/>
      <c r="I149" s="31"/>
    </row>
    <row r="150" spans="1:9" ht="21.75" customHeight="1" x14ac:dyDescent="0.3">
      <c r="A150" s="31"/>
      <c r="B150" s="31"/>
      <c r="C150" s="31"/>
      <c r="D150" s="31"/>
      <c r="E150" s="31"/>
      <c r="F150" s="31"/>
      <c r="G150" s="31"/>
      <c r="H150" s="31"/>
      <c r="I150" s="31"/>
    </row>
    <row r="151" spans="1:9" ht="21.75" customHeight="1" x14ac:dyDescent="0.3">
      <c r="A151" s="31"/>
      <c r="B151" s="31"/>
      <c r="C151" s="31"/>
      <c r="D151" s="31"/>
      <c r="E151" s="31"/>
      <c r="F151" s="31"/>
      <c r="G151" s="31"/>
      <c r="H151" s="31"/>
      <c r="I151" s="31"/>
    </row>
    <row r="152" spans="1:9" ht="21.75" customHeight="1" x14ac:dyDescent="0.3">
      <c r="A152" s="31"/>
      <c r="B152" s="31"/>
      <c r="C152" s="31"/>
      <c r="D152" s="31"/>
      <c r="E152" s="31"/>
      <c r="F152" s="31"/>
      <c r="G152" s="31"/>
      <c r="H152" s="31"/>
      <c r="I152" s="31"/>
    </row>
  </sheetData>
  <mergeCells count="3">
    <mergeCell ref="D1:G1"/>
    <mergeCell ref="H1:I1"/>
    <mergeCell ref="A1:B1"/>
  </mergeCells>
  <dataValidations count="2">
    <dataValidation type="list" allowBlank="1" sqref="D3:G153" xr:uid="{00000000-0002-0000-0500-000000000000}">
      <formula1>"1,2,3,4,5"</formula1>
      <formula2>0</formula2>
    </dataValidation>
    <dataValidation type="list" allowBlank="1" sqref="H3:H153" xr:uid="{00000000-0002-0000-0500-000001000000}">
      <formula1>"Yes,No,Partial"</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1:E23"/>
  <sheetViews>
    <sheetView showGridLines="0" topLeftCell="A2" zoomScaleNormal="100" workbookViewId="0">
      <selection activeCell="E8" sqref="E8"/>
    </sheetView>
  </sheetViews>
  <sheetFormatPr defaultColWidth="8.5546875" defaultRowHeight="14.4" x14ac:dyDescent="0.3"/>
  <cols>
    <col min="1" max="1" width="2" customWidth="1"/>
    <col min="2" max="2" width="24" customWidth="1"/>
    <col min="3" max="4" width="38" customWidth="1"/>
    <col min="5" max="5" width="22" customWidth="1"/>
  </cols>
  <sheetData>
    <row r="1" spans="2:5" x14ac:dyDescent="0.3">
      <c r="B1" s="47"/>
      <c r="C1" s="47"/>
      <c r="D1" s="47"/>
      <c r="E1" s="47"/>
    </row>
    <row r="2" spans="2:5" ht="31.5" customHeight="1" x14ac:dyDescent="0.3">
      <c r="B2" s="116" t="s">
        <v>98</v>
      </c>
      <c r="C2" s="117"/>
      <c r="D2" s="117"/>
      <c r="E2" s="117"/>
    </row>
    <row r="3" spans="2:5" x14ac:dyDescent="0.3">
      <c r="B3" s="47"/>
      <c r="C3" s="47"/>
      <c r="D3" s="47"/>
      <c r="E3" s="47"/>
    </row>
    <row r="4" spans="2:5" ht="21.75" customHeight="1" x14ac:dyDescent="0.3">
      <c r="B4" s="118" t="s">
        <v>496</v>
      </c>
      <c r="C4" s="117"/>
      <c r="D4" s="117"/>
      <c r="E4" s="117"/>
    </row>
    <row r="5" spans="2:5" ht="30" customHeight="1" x14ac:dyDescent="0.3">
      <c r="B5" s="42" t="s">
        <v>497</v>
      </c>
      <c r="C5" s="42" t="s">
        <v>498</v>
      </c>
      <c r="D5" s="42" t="s">
        <v>499</v>
      </c>
      <c r="E5" s="42" t="s">
        <v>500</v>
      </c>
    </row>
    <row r="6" spans="2:5" ht="83.25" customHeight="1" x14ac:dyDescent="0.3">
      <c r="B6" s="25" t="s">
        <v>501</v>
      </c>
      <c r="C6" s="26" t="s">
        <v>645</v>
      </c>
      <c r="D6" s="45" t="s">
        <v>502</v>
      </c>
      <c r="E6" s="46" t="s">
        <v>503</v>
      </c>
    </row>
    <row r="7" spans="2:5" ht="63.75" customHeight="1" x14ac:dyDescent="0.3">
      <c r="B7" s="25" t="s">
        <v>504</v>
      </c>
      <c r="C7" s="26" t="s">
        <v>505</v>
      </c>
      <c r="D7" s="45" t="s">
        <v>506</v>
      </c>
      <c r="E7" s="46" t="s">
        <v>507</v>
      </c>
    </row>
    <row r="8" spans="2:5" ht="63.75" customHeight="1" x14ac:dyDescent="0.3">
      <c r="B8" s="25" t="s">
        <v>508</v>
      </c>
      <c r="C8" s="26" t="s">
        <v>509</v>
      </c>
      <c r="D8" s="45" t="s">
        <v>510</v>
      </c>
      <c r="E8" s="46" t="s">
        <v>511</v>
      </c>
    </row>
    <row r="9" spans="2:5" ht="63.75" customHeight="1" x14ac:dyDescent="0.3">
      <c r="B9" s="25" t="s">
        <v>480</v>
      </c>
      <c r="C9" s="26" t="s">
        <v>512</v>
      </c>
      <c r="D9" s="45" t="s">
        <v>513</v>
      </c>
      <c r="E9" s="46" t="s">
        <v>514</v>
      </c>
    </row>
    <row r="10" spans="2:5" ht="63.75" customHeight="1" x14ac:dyDescent="0.3">
      <c r="B10" s="25" t="s">
        <v>481</v>
      </c>
      <c r="C10" s="26" t="s">
        <v>515</v>
      </c>
      <c r="D10" s="45" t="s">
        <v>516</v>
      </c>
      <c r="E10" s="46" t="s">
        <v>517</v>
      </c>
    </row>
    <row r="11" spans="2:5" ht="63.75" customHeight="1" x14ac:dyDescent="0.3">
      <c r="B11" s="25" t="s">
        <v>518</v>
      </c>
      <c r="C11" s="26" t="s">
        <v>519</v>
      </c>
      <c r="D11" s="45" t="s">
        <v>520</v>
      </c>
      <c r="E11" s="46" t="s">
        <v>521</v>
      </c>
    </row>
    <row r="12" spans="2:5" ht="63.75" customHeight="1" x14ac:dyDescent="0.3">
      <c r="B12" s="25" t="s">
        <v>522</v>
      </c>
      <c r="C12" s="26" t="s">
        <v>523</v>
      </c>
      <c r="D12" s="45" t="s">
        <v>524</v>
      </c>
      <c r="E12" s="46" t="s">
        <v>525</v>
      </c>
    </row>
    <row r="13" spans="2:5" x14ac:dyDescent="0.3">
      <c r="B13" s="47"/>
      <c r="C13" s="47"/>
      <c r="D13" s="47"/>
      <c r="E13" s="47"/>
    </row>
    <row r="14" spans="2:5" ht="21.75" customHeight="1" x14ac:dyDescent="0.3">
      <c r="B14" s="118" t="s">
        <v>526</v>
      </c>
      <c r="C14" s="117"/>
      <c r="D14" s="117"/>
      <c r="E14" s="117"/>
    </row>
    <row r="15" spans="2:5" ht="48" customHeight="1" x14ac:dyDescent="0.3">
      <c r="B15" s="25" t="s">
        <v>527</v>
      </c>
      <c r="C15" s="26" t="s">
        <v>528</v>
      </c>
      <c r="D15" s="45" t="s">
        <v>529</v>
      </c>
      <c r="E15" s="46" t="s">
        <v>530</v>
      </c>
    </row>
    <row r="16" spans="2:5" ht="48" customHeight="1" x14ac:dyDescent="0.3">
      <c r="B16" s="25" t="s">
        <v>491</v>
      </c>
      <c r="C16" s="26" t="s">
        <v>531</v>
      </c>
      <c r="D16" s="45" t="s">
        <v>532</v>
      </c>
      <c r="E16" s="46" t="s">
        <v>533</v>
      </c>
    </row>
    <row r="17" spans="2:5" ht="48" customHeight="1" x14ac:dyDescent="0.3">
      <c r="B17" s="25" t="s">
        <v>492</v>
      </c>
      <c r="C17" s="26" t="s">
        <v>534</v>
      </c>
      <c r="D17" s="45" t="s">
        <v>532</v>
      </c>
      <c r="E17" s="46" t="s">
        <v>535</v>
      </c>
    </row>
    <row r="18" spans="2:5" ht="48" customHeight="1" x14ac:dyDescent="0.3">
      <c r="B18" s="25" t="s">
        <v>493</v>
      </c>
      <c r="C18" s="26" t="s">
        <v>536</v>
      </c>
      <c r="D18" s="45" t="s">
        <v>537</v>
      </c>
      <c r="E18" s="46" t="s">
        <v>538</v>
      </c>
    </row>
    <row r="19" spans="2:5" ht="48" customHeight="1" x14ac:dyDescent="0.3">
      <c r="B19" s="25" t="s">
        <v>494</v>
      </c>
      <c r="C19" s="26" t="s">
        <v>539</v>
      </c>
      <c r="D19" s="45" t="s">
        <v>532</v>
      </c>
      <c r="E19" s="46" t="s">
        <v>540</v>
      </c>
    </row>
    <row r="21" spans="2:5" ht="21.75" customHeight="1" x14ac:dyDescent="0.3">
      <c r="B21" s="103" t="s">
        <v>541</v>
      </c>
      <c r="C21" s="104"/>
      <c r="D21" s="104"/>
      <c r="E21" s="104"/>
    </row>
    <row r="22" spans="2:5" ht="43.5" customHeight="1" x14ac:dyDescent="0.3"/>
    <row r="23" spans="2:5" ht="45.75" customHeight="1" x14ac:dyDescent="0.3"/>
  </sheetData>
  <mergeCells count="4">
    <mergeCell ref="B2:E2"/>
    <mergeCell ref="B21:E21"/>
    <mergeCell ref="B14:E14"/>
    <mergeCell ref="B4:E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27"/>
  <sheetViews>
    <sheetView showGridLines="0" zoomScaleNormal="100" workbookViewId="0">
      <selection activeCell="L18" sqref="L18"/>
    </sheetView>
  </sheetViews>
  <sheetFormatPr defaultColWidth="8.5546875" defaultRowHeight="14.4" x14ac:dyDescent="0.3"/>
  <cols>
    <col min="1" max="1" width="2" customWidth="1"/>
    <col min="2" max="2" width="26.33203125" customWidth="1"/>
    <col min="3" max="8" width="16" customWidth="1"/>
    <col min="9" max="9" width="28" customWidth="1"/>
  </cols>
  <sheetData>
    <row r="1" spans="2:9" x14ac:dyDescent="0.3">
      <c r="B1" s="47"/>
      <c r="C1" s="47"/>
      <c r="D1" s="47"/>
      <c r="E1" s="47"/>
      <c r="F1" s="47"/>
      <c r="G1" s="47"/>
      <c r="H1" s="47"/>
      <c r="I1" s="47"/>
    </row>
    <row r="2" spans="2:9" ht="31.5" customHeight="1" x14ac:dyDescent="0.3">
      <c r="B2" s="116" t="s">
        <v>542</v>
      </c>
      <c r="C2" s="117"/>
      <c r="D2" s="117"/>
      <c r="E2" s="117"/>
      <c r="F2" s="117"/>
      <c r="G2" s="117"/>
      <c r="H2" s="117"/>
      <c r="I2" s="117"/>
    </row>
    <row r="3" spans="2:9" ht="21.75" customHeight="1" x14ac:dyDescent="0.3">
      <c r="B3" s="47"/>
      <c r="C3" s="47"/>
      <c r="D3" s="47"/>
      <c r="E3" s="47"/>
      <c r="F3" s="47"/>
      <c r="G3" s="47"/>
      <c r="H3" s="47"/>
      <c r="I3" s="47"/>
    </row>
    <row r="4" spans="2:9" x14ac:dyDescent="0.3">
      <c r="B4" s="47"/>
      <c r="C4" s="47"/>
      <c r="D4" s="47"/>
      <c r="E4" s="47"/>
      <c r="F4" s="47"/>
      <c r="G4" s="47"/>
      <c r="H4" s="47"/>
      <c r="I4" s="47"/>
    </row>
    <row r="5" spans="2:9" ht="21.75" customHeight="1" x14ac:dyDescent="0.3">
      <c r="B5" s="118" t="s">
        <v>543</v>
      </c>
      <c r="C5" s="117"/>
      <c r="D5" s="117"/>
      <c r="E5" s="117"/>
      <c r="F5" s="117"/>
      <c r="G5" s="117"/>
      <c r="H5" s="117"/>
      <c r="I5" s="117"/>
    </row>
    <row r="6" spans="2:9" ht="25.5" customHeight="1" x14ac:dyDescent="0.3">
      <c r="B6" s="42" t="s">
        <v>497</v>
      </c>
      <c r="C6" s="42" t="s">
        <v>544</v>
      </c>
      <c r="D6" s="121" t="s">
        <v>545</v>
      </c>
      <c r="E6" s="120"/>
      <c r="F6" s="120"/>
      <c r="G6" s="120"/>
      <c r="H6" s="120"/>
      <c r="I6" s="120"/>
    </row>
    <row r="7" spans="2:9" ht="21.75" customHeight="1" x14ac:dyDescent="0.3">
      <c r="B7" s="43" t="s">
        <v>546</v>
      </c>
      <c r="C7" s="44">
        <f>COUNTA('2. Test Cases'!C3:C102)</f>
        <v>36</v>
      </c>
      <c r="D7" s="119" t="s">
        <v>547</v>
      </c>
      <c r="E7" s="120"/>
      <c r="F7" s="120"/>
      <c r="G7" s="120"/>
      <c r="H7" s="120"/>
      <c r="I7" s="120"/>
    </row>
    <row r="8" spans="2:9" ht="21.75" customHeight="1" x14ac:dyDescent="0.3">
      <c r="B8" s="43" t="s">
        <v>548</v>
      </c>
      <c r="C8" s="44">
        <f>COUNTIF('2. Test Cases'!J3:J102,"Dev")</f>
        <v>25</v>
      </c>
      <c r="D8" s="119" t="s">
        <v>549</v>
      </c>
      <c r="E8" s="120"/>
      <c r="F8" s="120"/>
      <c r="G8" s="120"/>
      <c r="H8" s="120"/>
      <c r="I8" s="120"/>
    </row>
    <row r="9" spans="2:9" ht="27" customHeight="1" x14ac:dyDescent="0.3">
      <c r="B9" s="43" t="s">
        <v>550</v>
      </c>
      <c r="C9" s="44">
        <f>COUNTIF('2. Test Cases'!J3:J102,"Test")</f>
        <v>11</v>
      </c>
      <c r="D9" s="119" t="s">
        <v>551</v>
      </c>
      <c r="E9" s="120"/>
      <c r="F9" s="120"/>
      <c r="G9" s="120"/>
      <c r="H9" s="120"/>
      <c r="I9" s="120"/>
    </row>
    <row r="10" spans="2:9" ht="23.25" customHeight="1" x14ac:dyDescent="0.3">
      <c r="B10" s="43" t="s">
        <v>552</v>
      </c>
      <c r="C10" s="44">
        <f>COUNTIF('2. Test Cases'!K3:K102,"Pending")</f>
        <v>36</v>
      </c>
      <c r="D10" s="119" t="s">
        <v>553</v>
      </c>
      <c r="E10" s="120"/>
      <c r="F10" s="120"/>
      <c r="G10" s="120"/>
      <c r="H10" s="120"/>
      <c r="I10" s="120"/>
    </row>
    <row r="11" spans="2:9" ht="26.25" customHeight="1" x14ac:dyDescent="0.3">
      <c r="B11" s="43" t="s">
        <v>554</v>
      </c>
      <c r="C11" s="44">
        <f>COUNTIF('2. Test Cases'!K3:K102,"Run")</f>
        <v>0</v>
      </c>
      <c r="D11" s="119" t="s">
        <v>555</v>
      </c>
      <c r="E11" s="120"/>
      <c r="F11" s="120"/>
      <c r="G11" s="120"/>
      <c r="H11" s="120"/>
      <c r="I11" s="120"/>
    </row>
    <row r="12" spans="2:9" ht="29.25" customHeight="1" x14ac:dyDescent="0.3">
      <c r="B12" s="43" t="s">
        <v>556</v>
      </c>
      <c r="C12" s="44">
        <f>COUNTIF('2. Test Cases'!K3:K102,"Reviewed")</f>
        <v>0</v>
      </c>
      <c r="D12" s="119" t="s">
        <v>557</v>
      </c>
      <c r="E12" s="120"/>
      <c r="F12" s="120"/>
      <c r="G12" s="120"/>
      <c r="H12" s="120"/>
      <c r="I12" s="120"/>
    </row>
    <row r="13" spans="2:9" ht="21.75" customHeight="1" x14ac:dyDescent="0.3">
      <c r="B13" s="43" t="s">
        <v>558</v>
      </c>
      <c r="C13" s="44">
        <f>COUNTIF('2. Test Cases'!K3:K102,"Pass")</f>
        <v>0</v>
      </c>
      <c r="D13" s="119" t="s">
        <v>559</v>
      </c>
      <c r="E13" s="120"/>
      <c r="F13" s="120"/>
      <c r="G13" s="120"/>
      <c r="H13" s="120"/>
      <c r="I13" s="120"/>
    </row>
    <row r="14" spans="2:9" ht="21.75" customHeight="1" x14ac:dyDescent="0.3">
      <c r="B14" s="43" t="s">
        <v>560</v>
      </c>
      <c r="C14" s="44">
        <f>COUNTIF('2. Test Cases'!K3:K102,"Fail")</f>
        <v>0</v>
      </c>
      <c r="D14" s="119" t="s">
        <v>561</v>
      </c>
      <c r="E14" s="120"/>
      <c r="F14" s="120"/>
      <c r="G14" s="120"/>
      <c r="H14" s="120"/>
      <c r="I14" s="120"/>
    </row>
    <row r="16" spans="2:9" ht="21.75" customHeight="1" x14ac:dyDescent="0.3">
      <c r="B16" s="118" t="s">
        <v>562</v>
      </c>
      <c r="C16" s="117"/>
      <c r="D16" s="117"/>
      <c r="E16" s="117"/>
      <c r="F16" s="117"/>
      <c r="G16" s="117"/>
      <c r="H16" s="117"/>
      <c r="I16" s="117"/>
    </row>
    <row r="17" spans="2:9" ht="25.5" customHeight="1" x14ac:dyDescent="0.3">
      <c r="B17" s="42" t="s">
        <v>497</v>
      </c>
      <c r="C17" s="42" t="s">
        <v>563</v>
      </c>
      <c r="D17" s="42" t="s">
        <v>564</v>
      </c>
      <c r="E17" s="121" t="s">
        <v>121</v>
      </c>
      <c r="F17" s="120"/>
      <c r="G17" s="120"/>
      <c r="H17" s="120"/>
      <c r="I17" s="120"/>
    </row>
    <row r="18" spans="2:9" ht="33.75" customHeight="1" x14ac:dyDescent="0.3">
      <c r="B18" s="70" t="s">
        <v>647</v>
      </c>
      <c r="C18" s="44">
        <f>IFERROR(AVERAGE('4. Scoring'!C3:C102),"-")</f>
        <v>73.677419354838705</v>
      </c>
      <c r="D18" s="46" t="s">
        <v>565</v>
      </c>
      <c r="E18" s="119" t="s">
        <v>566</v>
      </c>
      <c r="F18" s="120"/>
      <c r="G18" s="120"/>
      <c r="H18" s="120"/>
      <c r="I18" s="120"/>
    </row>
    <row r="19" spans="2:9" ht="45" customHeight="1" x14ac:dyDescent="0.3">
      <c r="B19" s="69" t="s">
        <v>648</v>
      </c>
      <c r="C19" s="44">
        <f>IFERROR(AVERAGE('4. Scoring'!F3:F102),"-")</f>
        <v>84.21875</v>
      </c>
      <c r="D19" s="46" t="s">
        <v>565</v>
      </c>
      <c r="E19" s="119" t="s">
        <v>566</v>
      </c>
      <c r="F19" s="120"/>
      <c r="G19" s="120"/>
      <c r="H19" s="120"/>
      <c r="I19" s="120"/>
    </row>
    <row r="20" spans="2:9" ht="30" customHeight="1" x14ac:dyDescent="0.3">
      <c r="B20" s="70" t="s">
        <v>649</v>
      </c>
      <c r="C20" s="44">
        <f>IFERROR(AVERAGE('4. Scoring'!D3:F102),"-")</f>
        <v>81.351063829787236</v>
      </c>
      <c r="D20" s="46" t="s">
        <v>567</v>
      </c>
      <c r="E20" s="119" t="s">
        <v>566</v>
      </c>
      <c r="F20" s="120"/>
      <c r="G20" s="120"/>
      <c r="H20" s="120"/>
      <c r="I20" s="120"/>
    </row>
    <row r="21" spans="2:9" ht="27.75" customHeight="1" x14ac:dyDescent="0.3">
      <c r="B21" s="69" t="s">
        <v>650</v>
      </c>
      <c r="C21" s="44">
        <f>IFERROR(AVERAGE('4. Scoring'!G3:G102),"-")</f>
        <v>57.46875</v>
      </c>
      <c r="D21" s="46" t="s">
        <v>567</v>
      </c>
      <c r="E21" s="119" t="s">
        <v>566</v>
      </c>
      <c r="F21" s="120"/>
      <c r="G21" s="120"/>
      <c r="H21" s="120"/>
      <c r="I21" s="120"/>
    </row>
    <row r="22" spans="2:9" ht="21.75" customHeight="1" x14ac:dyDescent="0.3">
      <c r="B22" s="43" t="s">
        <v>568</v>
      </c>
      <c r="C22" s="44" t="str">
        <f>IFERROR(AVERAGE('4. Scoring'!I3:I102),"-")</f>
        <v>-</v>
      </c>
      <c r="D22" s="46" t="s">
        <v>569</v>
      </c>
      <c r="E22" s="119" t="s">
        <v>566</v>
      </c>
      <c r="F22" s="120"/>
      <c r="G22" s="120"/>
      <c r="H22" s="120"/>
      <c r="I22" s="120"/>
    </row>
    <row r="23" spans="2:9" ht="21.75" customHeight="1" x14ac:dyDescent="0.3">
      <c r="B23" s="43" t="s">
        <v>570</v>
      </c>
      <c r="C23" s="44" t="str">
        <f>IFERROR(AVERAGE('4. Scoring'!J3:J102),"-")</f>
        <v>-</v>
      </c>
      <c r="D23" s="46" t="s">
        <v>571</v>
      </c>
      <c r="E23" s="119" t="s">
        <v>566</v>
      </c>
      <c r="F23" s="120"/>
      <c r="G23" s="120"/>
      <c r="H23" s="120"/>
      <c r="I23" s="120"/>
    </row>
    <row r="24" spans="2:9" ht="21.75" customHeight="1" x14ac:dyDescent="0.3">
      <c r="B24" s="43" t="s">
        <v>572</v>
      </c>
      <c r="C24" s="44">
        <f>IFERROR(SUM('4. Scoring'!K3:K102),0)</f>
        <v>0</v>
      </c>
      <c r="D24" s="46" t="s">
        <v>573</v>
      </c>
      <c r="E24" s="119" t="s">
        <v>566</v>
      </c>
      <c r="F24" s="120"/>
      <c r="G24" s="120"/>
      <c r="H24" s="120"/>
      <c r="I24" s="120"/>
    </row>
    <row r="25" spans="2:9" ht="21.75" customHeight="1" x14ac:dyDescent="0.3">
      <c r="B25" s="43" t="s">
        <v>574</v>
      </c>
      <c r="C25" s="44" t="str">
        <f>IFERROR(AVERAGE('5. Engineer Scoring'!D3:D152),"-")</f>
        <v>-</v>
      </c>
      <c r="D25" s="46" t="s">
        <v>575</v>
      </c>
      <c r="E25" s="119" t="s">
        <v>566</v>
      </c>
      <c r="F25" s="120"/>
      <c r="G25" s="120"/>
      <c r="H25" s="120"/>
      <c r="I25" s="120"/>
    </row>
    <row r="27" spans="2:9" ht="21.75" customHeight="1" x14ac:dyDescent="0.3">
      <c r="B27" s="103" t="s">
        <v>576</v>
      </c>
      <c r="C27" s="104"/>
      <c r="D27" s="104"/>
      <c r="E27" s="104"/>
      <c r="F27" s="104"/>
      <c r="G27" s="104"/>
      <c r="H27" s="104"/>
      <c r="I27" s="104"/>
    </row>
  </sheetData>
  <mergeCells count="22">
    <mergeCell ref="D11:I11"/>
    <mergeCell ref="E21:I21"/>
    <mergeCell ref="D13:I13"/>
    <mergeCell ref="B16:I16"/>
    <mergeCell ref="E24:I24"/>
    <mergeCell ref="E23:I23"/>
    <mergeCell ref="B27:I27"/>
    <mergeCell ref="D7:I7"/>
    <mergeCell ref="E17:I17"/>
    <mergeCell ref="E20:I20"/>
    <mergeCell ref="B2:I2"/>
    <mergeCell ref="D9:I9"/>
    <mergeCell ref="E19:I19"/>
    <mergeCell ref="D12:I12"/>
    <mergeCell ref="D8:I8"/>
    <mergeCell ref="D14:I14"/>
    <mergeCell ref="D10:I10"/>
    <mergeCell ref="E25:I25"/>
    <mergeCell ref="B5:I5"/>
    <mergeCell ref="D6:I6"/>
    <mergeCell ref="E22:I22"/>
    <mergeCell ref="E18:I18"/>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E307-6EEA-4447-8C5F-388565F1479A}">
  <dimension ref="A2:O38"/>
  <sheetViews>
    <sheetView workbookViewId="0">
      <selection activeCell="A2" sqref="A2"/>
    </sheetView>
  </sheetViews>
  <sheetFormatPr defaultRowHeight="14.4" x14ac:dyDescent="0.3"/>
  <cols>
    <col min="1" max="1" width="24.88671875" customWidth="1"/>
    <col min="2" max="2" width="18" customWidth="1"/>
    <col min="3" max="3" width="24.109375" customWidth="1"/>
    <col min="4" max="4" width="22.5546875" customWidth="1"/>
    <col min="5" max="5" width="14.44140625" customWidth="1"/>
    <col min="6" max="6" width="15.44140625" customWidth="1"/>
    <col min="7" max="7" width="12.5546875" customWidth="1"/>
    <col min="9" max="9" width="9.109375" customWidth="1"/>
    <col min="10" max="10" width="14" customWidth="1"/>
    <col min="11" max="11" width="12.109375" customWidth="1"/>
    <col min="12" max="12" width="10" customWidth="1"/>
    <col min="13" max="13" width="19.109375" customWidth="1"/>
    <col min="14" max="14" width="15.5546875" customWidth="1"/>
  </cols>
  <sheetData>
    <row r="2" spans="1:15" x14ac:dyDescent="0.3">
      <c r="A2" t="e" cm="1" vm="1">
        <f t="array" ref="A2">_xlfn._xlws.PY(0,0,'2. Test Cases'!A3:M38,'3. Run Log'!A3:H118)</f>
        <v>#VALUE!</v>
      </c>
      <c r="I2" t="s">
        <v>113</v>
      </c>
      <c r="J2" t="s">
        <v>637</v>
      </c>
      <c r="K2" t="s">
        <v>642</v>
      </c>
      <c r="L2" t="s">
        <v>638</v>
      </c>
      <c r="M2" t="s">
        <v>639</v>
      </c>
      <c r="N2" t="s">
        <v>640</v>
      </c>
      <c r="O2" t="s">
        <v>641</v>
      </c>
    </row>
    <row r="3" spans="1:15" x14ac:dyDescent="0.3">
      <c r="I3" t="s">
        <v>129</v>
      </c>
      <c r="J3">
        <v>68</v>
      </c>
      <c r="K3">
        <v>69</v>
      </c>
      <c r="L3">
        <v>68</v>
      </c>
      <c r="M3" t="s">
        <v>140</v>
      </c>
      <c r="N3" t="s">
        <v>140</v>
      </c>
      <c r="O3" t="s">
        <v>140</v>
      </c>
    </row>
    <row r="4" spans="1:15" x14ac:dyDescent="0.3">
      <c r="I4" t="s">
        <v>144</v>
      </c>
      <c r="J4">
        <v>19</v>
      </c>
      <c r="K4">
        <v>19</v>
      </c>
      <c r="L4">
        <v>19</v>
      </c>
      <c r="M4">
        <v>90</v>
      </c>
      <c r="N4">
        <v>45</v>
      </c>
      <c r="O4">
        <v>60</v>
      </c>
    </row>
    <row r="5" spans="1:15" x14ac:dyDescent="0.3">
      <c r="I5" t="s">
        <v>154</v>
      </c>
      <c r="J5">
        <v>71</v>
      </c>
      <c r="K5">
        <v>87</v>
      </c>
      <c r="L5">
        <v>78</v>
      </c>
      <c r="M5">
        <v>79</v>
      </c>
      <c r="N5">
        <v>70</v>
      </c>
      <c r="O5">
        <v>74</v>
      </c>
    </row>
    <row r="6" spans="1:15" x14ac:dyDescent="0.3">
      <c r="I6" t="s">
        <v>165</v>
      </c>
      <c r="J6">
        <v>94</v>
      </c>
      <c r="K6">
        <v>100</v>
      </c>
      <c r="L6">
        <v>97</v>
      </c>
      <c r="M6">
        <v>80</v>
      </c>
      <c r="N6">
        <v>88</v>
      </c>
      <c r="O6">
        <v>84</v>
      </c>
    </row>
    <row r="7" spans="1:15" x14ac:dyDescent="0.3">
      <c r="I7" t="s">
        <v>176</v>
      </c>
      <c r="J7">
        <v>75</v>
      </c>
      <c r="K7">
        <v>100</v>
      </c>
      <c r="L7">
        <v>86</v>
      </c>
      <c r="M7">
        <v>85</v>
      </c>
      <c r="N7">
        <v>57</v>
      </c>
      <c r="O7">
        <v>68</v>
      </c>
    </row>
    <row r="8" spans="1:15" x14ac:dyDescent="0.3">
      <c r="I8" t="s">
        <v>185</v>
      </c>
      <c r="J8">
        <v>100</v>
      </c>
      <c r="K8">
        <v>41</v>
      </c>
      <c r="L8">
        <v>58</v>
      </c>
      <c r="M8">
        <v>81</v>
      </c>
      <c r="N8">
        <v>63</v>
      </c>
      <c r="O8">
        <v>71</v>
      </c>
    </row>
    <row r="9" spans="1:15" x14ac:dyDescent="0.3">
      <c r="I9" t="s">
        <v>194</v>
      </c>
      <c r="J9">
        <v>100</v>
      </c>
      <c r="K9">
        <v>41</v>
      </c>
      <c r="L9">
        <v>58</v>
      </c>
      <c r="M9" t="s">
        <v>140</v>
      </c>
      <c r="N9" t="s">
        <v>140</v>
      </c>
      <c r="O9" t="s">
        <v>140</v>
      </c>
    </row>
    <row r="10" spans="1:15" x14ac:dyDescent="0.3">
      <c r="I10" t="s">
        <v>204</v>
      </c>
      <c r="J10">
        <v>100</v>
      </c>
      <c r="K10">
        <v>41</v>
      </c>
      <c r="L10">
        <v>58</v>
      </c>
      <c r="M10">
        <v>85</v>
      </c>
      <c r="N10">
        <v>57</v>
      </c>
      <c r="O10">
        <v>68</v>
      </c>
    </row>
    <row r="11" spans="1:15" x14ac:dyDescent="0.3">
      <c r="I11" t="s">
        <v>213</v>
      </c>
      <c r="J11">
        <v>75</v>
      </c>
      <c r="K11">
        <v>100</v>
      </c>
      <c r="L11">
        <v>86</v>
      </c>
      <c r="M11">
        <v>85</v>
      </c>
      <c r="N11">
        <v>57</v>
      </c>
      <c r="O11">
        <v>68</v>
      </c>
    </row>
    <row r="12" spans="1:15" x14ac:dyDescent="0.3">
      <c r="I12" t="s">
        <v>222</v>
      </c>
      <c r="J12">
        <v>75</v>
      </c>
      <c r="K12">
        <v>100</v>
      </c>
      <c r="L12">
        <v>86</v>
      </c>
      <c r="M12">
        <v>100</v>
      </c>
      <c r="N12">
        <v>19</v>
      </c>
      <c r="O12">
        <v>32</v>
      </c>
    </row>
    <row r="13" spans="1:15" x14ac:dyDescent="0.3">
      <c r="I13" t="s">
        <v>232</v>
      </c>
      <c r="J13">
        <v>75</v>
      </c>
      <c r="K13">
        <v>100</v>
      </c>
      <c r="L13">
        <v>86</v>
      </c>
      <c r="M13">
        <v>100</v>
      </c>
      <c r="N13">
        <v>22</v>
      </c>
      <c r="O13">
        <v>36</v>
      </c>
    </row>
    <row r="14" spans="1:15" x14ac:dyDescent="0.3">
      <c r="I14" t="s">
        <v>238</v>
      </c>
      <c r="J14">
        <v>75</v>
      </c>
      <c r="K14">
        <v>100</v>
      </c>
      <c r="L14">
        <v>86</v>
      </c>
      <c r="M14">
        <v>85</v>
      </c>
      <c r="N14">
        <v>59</v>
      </c>
      <c r="O14">
        <v>70</v>
      </c>
    </row>
    <row r="15" spans="1:15" x14ac:dyDescent="0.3">
      <c r="I15" t="s">
        <v>246</v>
      </c>
      <c r="J15" t="s">
        <v>140</v>
      </c>
      <c r="K15" t="s">
        <v>140</v>
      </c>
      <c r="L15" t="s">
        <v>140</v>
      </c>
      <c r="M15">
        <v>85</v>
      </c>
      <c r="N15">
        <v>51</v>
      </c>
      <c r="O15">
        <v>64</v>
      </c>
    </row>
    <row r="16" spans="1:15" x14ac:dyDescent="0.3">
      <c r="I16" t="s">
        <v>256</v>
      </c>
      <c r="J16" t="s">
        <v>140</v>
      </c>
      <c r="K16" t="s">
        <v>140</v>
      </c>
      <c r="L16" t="s">
        <v>140</v>
      </c>
      <c r="M16">
        <v>85</v>
      </c>
      <c r="N16">
        <v>50</v>
      </c>
      <c r="O16">
        <v>63</v>
      </c>
    </row>
    <row r="17" spans="9:15" x14ac:dyDescent="0.3">
      <c r="I17" t="s">
        <v>264</v>
      </c>
      <c r="J17">
        <v>75</v>
      </c>
      <c r="K17">
        <v>100</v>
      </c>
      <c r="L17">
        <v>86</v>
      </c>
      <c r="M17">
        <v>85</v>
      </c>
      <c r="N17">
        <v>57</v>
      </c>
      <c r="O17">
        <v>68</v>
      </c>
    </row>
    <row r="18" spans="9:15" x14ac:dyDescent="0.3">
      <c r="I18" t="s">
        <v>271</v>
      </c>
      <c r="J18">
        <v>75</v>
      </c>
      <c r="K18">
        <v>100</v>
      </c>
      <c r="L18">
        <v>86</v>
      </c>
      <c r="M18">
        <v>100</v>
      </c>
      <c r="N18">
        <v>22</v>
      </c>
      <c r="O18">
        <v>36</v>
      </c>
    </row>
    <row r="19" spans="9:15" x14ac:dyDescent="0.3">
      <c r="I19" t="s">
        <v>279</v>
      </c>
      <c r="J19">
        <v>75</v>
      </c>
      <c r="K19">
        <v>100</v>
      </c>
      <c r="L19">
        <v>86</v>
      </c>
      <c r="M19">
        <v>81</v>
      </c>
      <c r="N19">
        <v>63</v>
      </c>
      <c r="O19">
        <v>71</v>
      </c>
    </row>
    <row r="20" spans="9:15" x14ac:dyDescent="0.3">
      <c r="I20" t="s">
        <v>287</v>
      </c>
      <c r="J20">
        <v>72</v>
      </c>
      <c r="K20">
        <v>100</v>
      </c>
      <c r="L20">
        <v>84</v>
      </c>
      <c r="M20">
        <v>94</v>
      </c>
      <c r="N20">
        <v>66</v>
      </c>
      <c r="O20">
        <v>78</v>
      </c>
    </row>
    <row r="21" spans="9:15" x14ac:dyDescent="0.3">
      <c r="I21" t="s">
        <v>296</v>
      </c>
      <c r="J21">
        <v>72</v>
      </c>
      <c r="K21">
        <v>100</v>
      </c>
      <c r="L21">
        <v>84</v>
      </c>
      <c r="M21">
        <v>94</v>
      </c>
      <c r="N21">
        <v>65</v>
      </c>
      <c r="O21">
        <v>77</v>
      </c>
    </row>
    <row r="22" spans="9:15" x14ac:dyDescent="0.3">
      <c r="I22" t="s">
        <v>305</v>
      </c>
      <c r="J22">
        <v>75</v>
      </c>
      <c r="K22">
        <v>100</v>
      </c>
      <c r="L22">
        <v>86</v>
      </c>
      <c r="M22">
        <v>83</v>
      </c>
      <c r="N22">
        <v>75</v>
      </c>
      <c r="O22">
        <v>79</v>
      </c>
    </row>
    <row r="23" spans="9:15" x14ac:dyDescent="0.3">
      <c r="I23" t="s">
        <v>313</v>
      </c>
      <c r="J23">
        <v>75</v>
      </c>
      <c r="K23">
        <v>100</v>
      </c>
      <c r="L23">
        <v>86</v>
      </c>
      <c r="M23">
        <v>85</v>
      </c>
      <c r="N23">
        <v>59</v>
      </c>
      <c r="O23">
        <v>70</v>
      </c>
    </row>
    <row r="24" spans="9:15" x14ac:dyDescent="0.3">
      <c r="I24" t="s">
        <v>320</v>
      </c>
      <c r="J24">
        <v>26</v>
      </c>
      <c r="K24">
        <v>75</v>
      </c>
      <c r="L24">
        <v>38</v>
      </c>
      <c r="M24">
        <v>86</v>
      </c>
      <c r="N24">
        <v>37</v>
      </c>
      <c r="O24">
        <v>52</v>
      </c>
    </row>
    <row r="25" spans="9:15" x14ac:dyDescent="0.3">
      <c r="I25" t="s">
        <v>331</v>
      </c>
      <c r="J25">
        <v>25</v>
      </c>
      <c r="K25">
        <v>75</v>
      </c>
      <c r="L25">
        <v>38</v>
      </c>
      <c r="M25">
        <v>87</v>
      </c>
      <c r="N25">
        <v>38</v>
      </c>
      <c r="O25">
        <v>53</v>
      </c>
    </row>
    <row r="26" spans="9:15" x14ac:dyDescent="0.3">
      <c r="I26" t="s">
        <v>341</v>
      </c>
      <c r="J26">
        <v>72</v>
      </c>
      <c r="K26">
        <v>100</v>
      </c>
      <c r="L26">
        <v>84</v>
      </c>
      <c r="M26">
        <v>92</v>
      </c>
      <c r="N26">
        <v>73</v>
      </c>
      <c r="O26">
        <v>81</v>
      </c>
    </row>
    <row r="27" spans="9:15" x14ac:dyDescent="0.3">
      <c r="I27" t="s">
        <v>350</v>
      </c>
      <c r="J27">
        <v>75</v>
      </c>
      <c r="K27">
        <v>100</v>
      </c>
      <c r="L27">
        <v>86</v>
      </c>
      <c r="M27">
        <v>78</v>
      </c>
      <c r="N27">
        <v>63</v>
      </c>
      <c r="O27">
        <v>70</v>
      </c>
    </row>
    <row r="28" spans="9:15" x14ac:dyDescent="0.3">
      <c r="I28" t="s">
        <v>359</v>
      </c>
      <c r="J28">
        <v>100</v>
      </c>
      <c r="K28">
        <v>100</v>
      </c>
      <c r="L28">
        <v>100</v>
      </c>
      <c r="M28">
        <v>82</v>
      </c>
      <c r="N28">
        <v>72</v>
      </c>
      <c r="O28">
        <v>77</v>
      </c>
    </row>
    <row r="29" spans="9:15" x14ac:dyDescent="0.3">
      <c r="I29" t="s">
        <v>369</v>
      </c>
      <c r="J29">
        <v>100</v>
      </c>
      <c r="K29">
        <v>33</v>
      </c>
      <c r="L29">
        <v>50</v>
      </c>
      <c r="M29" t="s">
        <v>140</v>
      </c>
      <c r="N29" t="s">
        <v>140</v>
      </c>
      <c r="O29" t="s">
        <v>140</v>
      </c>
    </row>
    <row r="30" spans="9:15" x14ac:dyDescent="0.3">
      <c r="I30" t="s">
        <v>378</v>
      </c>
      <c r="J30">
        <v>100</v>
      </c>
      <c r="K30">
        <v>81</v>
      </c>
      <c r="L30">
        <v>90</v>
      </c>
      <c r="M30">
        <v>84</v>
      </c>
      <c r="N30">
        <v>75</v>
      </c>
      <c r="O30">
        <v>79</v>
      </c>
    </row>
    <row r="31" spans="9:15" x14ac:dyDescent="0.3">
      <c r="I31" t="s">
        <v>387</v>
      </c>
      <c r="J31">
        <v>100</v>
      </c>
      <c r="K31">
        <v>81</v>
      </c>
      <c r="L31">
        <v>90</v>
      </c>
      <c r="M31">
        <v>83</v>
      </c>
      <c r="N31">
        <v>65</v>
      </c>
      <c r="O31">
        <v>73</v>
      </c>
    </row>
    <row r="32" spans="9:15" x14ac:dyDescent="0.3">
      <c r="I32" t="s">
        <v>397</v>
      </c>
      <c r="J32">
        <v>30</v>
      </c>
      <c r="K32">
        <v>81</v>
      </c>
      <c r="L32">
        <v>43</v>
      </c>
      <c r="M32">
        <v>82</v>
      </c>
      <c r="N32">
        <v>49</v>
      </c>
      <c r="O32">
        <v>61</v>
      </c>
    </row>
    <row r="33" spans="9:15" x14ac:dyDescent="0.3">
      <c r="I33" t="s">
        <v>409</v>
      </c>
      <c r="J33" t="s">
        <v>140</v>
      </c>
      <c r="K33" t="s">
        <v>140</v>
      </c>
      <c r="L33" t="s">
        <v>140</v>
      </c>
      <c r="M33">
        <v>58</v>
      </c>
      <c r="N33">
        <v>58</v>
      </c>
      <c r="O33">
        <v>58</v>
      </c>
    </row>
    <row r="34" spans="9:15" x14ac:dyDescent="0.3">
      <c r="I34" t="s">
        <v>417</v>
      </c>
      <c r="J34" t="s">
        <v>140</v>
      </c>
      <c r="K34" t="s">
        <v>140</v>
      </c>
      <c r="L34" t="s">
        <v>140</v>
      </c>
      <c r="M34">
        <v>55</v>
      </c>
      <c r="N34">
        <v>66</v>
      </c>
      <c r="O34">
        <v>60</v>
      </c>
    </row>
    <row r="35" spans="9:15" x14ac:dyDescent="0.3">
      <c r="I35" t="s">
        <v>426</v>
      </c>
      <c r="J35">
        <v>85</v>
      </c>
      <c r="K35">
        <v>100</v>
      </c>
      <c r="L35">
        <v>92</v>
      </c>
      <c r="M35">
        <v>81</v>
      </c>
      <c r="N35">
        <v>72</v>
      </c>
      <c r="O35">
        <v>76</v>
      </c>
    </row>
    <row r="36" spans="9:15" x14ac:dyDescent="0.3">
      <c r="I36" t="s">
        <v>436</v>
      </c>
      <c r="J36">
        <v>50</v>
      </c>
      <c r="K36">
        <v>100</v>
      </c>
      <c r="L36">
        <v>67</v>
      </c>
      <c r="M36">
        <v>85</v>
      </c>
      <c r="N36">
        <v>57</v>
      </c>
      <c r="O36">
        <v>68</v>
      </c>
    </row>
    <row r="37" spans="9:15" x14ac:dyDescent="0.3">
      <c r="I37" t="s">
        <v>445</v>
      </c>
      <c r="J37">
        <v>75</v>
      </c>
      <c r="K37">
        <v>100</v>
      </c>
      <c r="L37">
        <v>86</v>
      </c>
      <c r="M37">
        <v>80</v>
      </c>
      <c r="N37">
        <v>69</v>
      </c>
      <c r="O37">
        <v>74</v>
      </c>
    </row>
    <row r="38" spans="9:15" x14ac:dyDescent="0.3">
      <c r="I38" t="s">
        <v>454</v>
      </c>
      <c r="J38" t="s">
        <v>140</v>
      </c>
      <c r="K38" t="s">
        <v>140</v>
      </c>
      <c r="L38" t="s">
        <v>140</v>
      </c>
      <c r="M38" t="s">
        <v>140</v>
      </c>
      <c r="N38" t="s">
        <v>140</v>
      </c>
      <c r="O38" t="s">
        <v>140</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741C0F5783F7D48907DAB33EEEB9B55" ma:contentTypeVersion="3" ma:contentTypeDescription="Create a new document." ma:contentTypeScope="" ma:versionID="307e7b5189dfece7926d3f755334001a">
  <xsd:schema xmlns:xsd="http://www.w3.org/2001/XMLSchema" xmlns:xs="http://www.w3.org/2001/XMLSchema" xmlns:p="http://schemas.microsoft.com/office/2006/metadata/properties" xmlns:ns2="461d2339-64d0-4f07-a277-1d9634d3fbdc" targetNamespace="http://schemas.microsoft.com/office/2006/metadata/properties" ma:root="true" ma:fieldsID="859fa6af60e0378edcb82a030a441b4b" ns2:_="">
    <xsd:import namespace="461d2339-64d0-4f07-a277-1d9634d3fb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1d2339-64d0-4f07-a277-1d9634d3fb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943A1B-EBD8-4BD5-B787-54806C0F197B}">
  <ds:schemaRefs>
    <ds:schemaRef ds:uri="http://schemas.microsoft.com/sharepoint/v3/contenttype/forms"/>
  </ds:schemaRefs>
</ds:datastoreItem>
</file>

<file path=customXml/itemProps2.xml><?xml version="1.0" encoding="utf-8"?>
<ds:datastoreItem xmlns:ds="http://schemas.openxmlformats.org/officeDocument/2006/customXml" ds:itemID="{8CCFBE83-6278-42B8-AD5A-A8407A4F979B}">
  <ds:schemaRefs>
    <ds:schemaRef ds:uri="http://schemas.microsoft.com/DataMashup"/>
  </ds:schemaRefs>
</ds:datastoreItem>
</file>

<file path=customXml/itemProps3.xml><?xml version="1.0" encoding="utf-8"?>
<ds:datastoreItem xmlns:ds="http://schemas.openxmlformats.org/officeDocument/2006/customXml" ds:itemID="{2CD8EC27-09DF-4444-A8D9-0D92FA574AB9}">
  <ds:schemaRefs>
    <ds:schemaRef ds:uri="http://schemas.microsoft.com/office/2006/metadata/properties"/>
    <ds:schemaRef ds:uri="http://schemas.microsoft.com/office/2006/documentManagement/types"/>
    <ds:schemaRef ds:uri="461d2339-64d0-4f07-a277-1d9634d3fbdc"/>
    <ds:schemaRef ds:uri="http://purl.org/dc/dcmitype/"/>
    <ds:schemaRef ds:uri="http://schemas.openxmlformats.org/package/2006/metadata/core-properties"/>
    <ds:schemaRef ds:uri="http://purl.org/dc/elements/1.1/"/>
    <ds:schemaRef ds:uri="http://schemas.microsoft.com/office/infopath/2007/PartnerControls"/>
    <ds:schemaRef ds:uri="http://www.w3.org/XML/1998/namespace"/>
    <ds:schemaRef ds:uri="http://purl.org/dc/terms/"/>
  </ds:schemaRefs>
</ds:datastoreItem>
</file>

<file path=customXml/itemProps4.xml><?xml version="1.0" encoding="utf-8"?>
<ds:datastoreItem xmlns:ds="http://schemas.openxmlformats.org/officeDocument/2006/customXml" ds:itemID="{FE8E4BB1-27FA-4BA0-9A8C-0934A70DA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1d2339-64d0-4f07-a277-1d9634d3fb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4db608-ddec-4a44-8ad7-7d5a79b7448e}" enabled="1" method="Standard" siteId="{fd799da1-bfc1-4234-a91c-72b3a1cb9e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Prompt Schema</vt:lpstr>
      <vt:lpstr>1. Cover</vt:lpstr>
      <vt:lpstr>2. Test Cases</vt:lpstr>
      <vt:lpstr>3. Run Log</vt:lpstr>
      <vt:lpstr>4. Scoring</vt:lpstr>
      <vt:lpstr>5. Engineer Scoring</vt:lpstr>
      <vt:lpstr>6. Metrics Definitions</vt:lpstr>
      <vt:lpstr>7. Summary</vt:lpstr>
      <vt:lpstr>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Izimgali, Nurmukhambet [Bolashak Atyrau Limited]</cp:lastModifiedBy>
  <cp:revision>1</cp:revision>
  <dcterms:created xsi:type="dcterms:W3CDTF">2026-06-10T10:23:09Z</dcterms:created>
  <dcterms:modified xsi:type="dcterms:W3CDTF">2026-07-28T04:48:11Z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0x0101007741C0F5783F7D48907DAB33EEEB9B55</vt:lpwstr>
  </property>
</Properties>
</file>